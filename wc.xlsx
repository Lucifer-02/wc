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<sst xmlns="http://schemas.openxmlformats.org/spreadsheetml/2006/main" count="111" uniqueCount="90">
  <si>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</si>
  <si>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</si>
  <si>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</si>
  <si>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</si>
  <si>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</si>
  <si>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</si>
  <si>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</si>
  <si>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</si>
  <si>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</si>
  <si>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</si>
  <si>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</si>
  <si>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</si>
  <si>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</si>
  <si>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</si>
  <si>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</si>
  <si>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</si>
  <si>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</si>
  <si>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</si>
  <si>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</si>
  <si>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</si>
  <si>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</si>
  <si>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</si>
  <si>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</si>
  <si>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</si>
  <si>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</si>
  <si>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</si>
  <si>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</si>
  <si>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</si>
  <si>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</si>
  <si>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</si>
  <si>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</si>
  <si>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</si>
  <si>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</si>
  <si>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</si>
  <si>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</si>
  <si>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</si>
  <si>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</si>
  <si>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</si>
  <si>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</si>
  <si>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</si>
  <si>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</si>
  <si>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</si>
  <si>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</si>
  <si>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</si>
  <si>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</si>
  <si>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</si>
  <si>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</si>
  <si>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</si>
  <si>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</si>
  <si>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</si>
  <si>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</si>
  <si>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</si>
  <si>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</si>
  <si>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</si>
  <si>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</si>
  <si>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</si>
  <si>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</si>
  <si>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</si>
  <si>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</si>
  <si>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</si>
  <si>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</si>
  <si>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</si>
  <si>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</si>
  <si>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</si>
  <si>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</si>
  <si>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</si>
  <si>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</si>
  <si>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</si>
  <si>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</si>
  <si>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</si>
  <si>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</si>
  <si>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</si>
  <si>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</si>
  <si>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</si>
  <si>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</si>
  <si>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</si>
  <si>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</si>
  <si>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</si>
  <si>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</si>
  <si>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</si>
  <si>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</si>
  <si>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</si>
  <si>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</si>
  <si>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t>Vua đóng góp</t>
  </si>
  <si>
    <t>Góp gạo</t>
  </si>
  <si>
    <t>Ngôi sao hi vọng</t>
  </si>
  <si>
    <t>SUM</t>
  </si>
  <si>
    <t>AVG/người</t>
  </si>
  <si>
    <t>AVG/trận</t>
  </si>
  <si>
    <t>AVG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</si>
</sst>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680</v>
      </c>
      <c r="C1" s="1">
        <f t="shared" si="1"/>
        <v>620</v>
      </c>
      <c r="D1" s="1">
        <f t="shared" si="1"/>
        <v>680</v>
      </c>
      <c r="E1" s="1">
        <f t="shared" si="1"/>
        <v>580</v>
      </c>
      <c r="F1" s="1">
        <f t="shared" si="1"/>
        <v>760</v>
      </c>
      <c r="G1" s="1">
        <f t="shared" si="1"/>
        <v>680</v>
      </c>
      <c r="H1" s="1">
        <f t="shared" si="1"/>
        <v>660</v>
      </c>
      <c r="I1" s="1">
        <f t="shared" si="1"/>
        <v>520</v>
      </c>
      <c r="J1" s="1">
        <f t="shared" si="1"/>
        <v>560</v>
      </c>
      <c r="K1" s="1">
        <f t="shared" si="1"/>
        <v>600</v>
      </c>
      <c r="L1" s="1">
        <f t="shared" si="1"/>
        <v>760</v>
      </c>
      <c r="M1" s="1">
        <f t="shared" si="1"/>
        <v>660</v>
      </c>
      <c r="N1" s="1">
        <f t="shared" si="1"/>
        <v>620</v>
      </c>
      <c r="O1" s="1">
        <f t="shared" si="1"/>
        <v>600</v>
      </c>
      <c r="P1" s="1">
        <f t="shared" si="1"/>
        <v>660</v>
      </c>
      <c r="Q1" s="1">
        <f t="shared" si="1"/>
        <v>560</v>
      </c>
      <c r="R1" s="1">
        <f t="shared" si="1"/>
        <v>660</v>
      </c>
      <c r="S1" s="1">
        <f t="shared" si="1"/>
        <v>560</v>
      </c>
      <c r="T1" s="1">
        <f t="shared" si="1"/>
        <v>720</v>
      </c>
      <c r="U1" s="1">
        <f t="shared" si="1"/>
        <v>640</v>
      </c>
      <c r="V1" s="1">
        <f t="shared" si="1"/>
        <v>720</v>
      </c>
      <c r="W1" s="1">
        <f t="shared" si="1"/>
        <v>640</v>
      </c>
      <c r="X1" s="2">
        <f>COUNTIF(X3:X130,"&gt;0")</f>
        <v>60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10"/>
      <c r="X63" s="2">
        <f t="shared" si="2"/>
        <v>0</v>
      </c>
    </row>
    <row r="64">
      <c r="A64" s="10"/>
      <c r="X64" s="2">
        <f t="shared" si="2"/>
        <v>0</v>
      </c>
    </row>
    <row r="65">
      <c r="A65" s="10"/>
      <c r="X65" s="2">
        <f t="shared" si="2"/>
        <v>0</v>
      </c>
    </row>
    <row r="66">
      <c r="A66" s="10"/>
      <c r="X66" s="2">
        <f t="shared" si="2"/>
        <v>0</v>
      </c>
    </row>
    <row r="67">
      <c r="A67" s="10"/>
      <c r="X67" s="2">
        <f t="shared" si="2"/>
        <v>0</v>
      </c>
    </row>
    <row r="68">
      <c r="A68" s="10"/>
      <c r="X68" s="2">
        <f t="shared" si="2"/>
        <v>0</v>
      </c>
    </row>
    <row r="69">
      <c r="A69" s="10"/>
      <c r="X69" s="2">
        <f t="shared" si="2"/>
        <v>0</v>
      </c>
    </row>
    <row r="70">
      <c r="A70" s="10"/>
      <c r="X70" s="2">
        <f t="shared" si="2"/>
        <v>0</v>
      </c>
    </row>
    <row r="71">
      <c r="A71" s="10"/>
      <c r="X71" s="2">
        <f t="shared" si="2"/>
        <v>0</v>
      </c>
    </row>
    <row r="72">
      <c r="A72" s="10"/>
      <c r="X72" s="2">
        <f t="shared" si="2"/>
        <v>0</v>
      </c>
    </row>
    <row r="73">
      <c r="A73" s="10"/>
      <c r="X73" s="2">
        <f t="shared" si="2"/>
        <v>0</v>
      </c>
    </row>
    <row r="74">
      <c r="A74" s="10"/>
      <c r="X74" s="2">
        <f t="shared" si="2"/>
        <v>0</v>
      </c>
    </row>
    <row r="75">
      <c r="A75" s="10"/>
      <c r="X75" s="2">
        <f t="shared" si="2"/>
        <v>0</v>
      </c>
    </row>
    <row r="76">
      <c r="A76" s="10"/>
      <c r="X76" s="2">
        <f t="shared" si="2"/>
        <v>0</v>
      </c>
    </row>
    <row r="77">
      <c r="A77" s="10"/>
      <c r="X77" s="2">
        <f t="shared" si="2"/>
        <v>0</v>
      </c>
    </row>
    <row r="78">
      <c r="A78" s="10"/>
      <c r="X78" s="2">
        <f t="shared" si="2"/>
        <v>0</v>
      </c>
    </row>
    <row r="79">
      <c r="A79" s="10"/>
      <c r="X79" s="2">
        <f t="shared" si="2"/>
        <v>0</v>
      </c>
    </row>
    <row r="80">
      <c r="A80" s="10"/>
      <c r="X80" s="2">
        <f t="shared" si="2"/>
        <v>0</v>
      </c>
    </row>
    <row r="81">
      <c r="A81" s="10"/>
      <c r="X81" s="2">
        <f t="shared" si="2"/>
        <v>0</v>
      </c>
    </row>
    <row r="82">
      <c r="A82" s="10"/>
      <c r="X82" s="2">
        <f t="shared" si="2"/>
        <v>0</v>
      </c>
    </row>
    <row r="83">
      <c r="A83" s="10"/>
      <c r="X83" s="2">
        <f t="shared" si="2"/>
        <v>0</v>
      </c>
    </row>
    <row r="84">
      <c r="A84" s="10"/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83</v>
      </c>
      <c r="B1" s="11" t="s">
        <v>84</v>
      </c>
      <c r="C1" s="11" t="s">
        <v>85</v>
      </c>
    </row>
    <row r="2">
      <c r="A2" s="12" t="str">
        <f t="array" ref="A2:B23">SORT(
TRANSPOSE({Detail!B2:W2;Detail!B1:W1}),
2,
FALSE
)</f>
        <v>Tiến Tùng</v>
      </c>
      <c r="B2" s="2">
        <v>760.0</v>
      </c>
    </row>
    <row r="3">
      <c r="A3" s="12" t="s">
        <v>10</v>
      </c>
      <c r="B3" s="2">
        <v>760.0</v>
      </c>
    </row>
    <row r="4">
      <c r="A4" s="12" t="s">
        <v>18</v>
      </c>
      <c r="B4" s="2">
        <v>720.0</v>
      </c>
    </row>
    <row r="5">
      <c r="A5" s="12" t="s">
        <v>20</v>
      </c>
      <c r="B5" s="2">
        <v>720.0</v>
      </c>
    </row>
    <row r="6">
      <c r="A6" s="12" t="s">
        <v>0</v>
      </c>
      <c r="B6" s="2">
        <v>680.0</v>
      </c>
    </row>
    <row r="7">
      <c r="A7" s="12" t="s">
        <v>2</v>
      </c>
      <c r="B7" s="2">
        <v>680.0</v>
      </c>
    </row>
    <row r="8">
      <c r="A8" s="12" t="s">
        <v>5</v>
      </c>
      <c r="B8" s="2">
        <v>680.0</v>
      </c>
    </row>
    <row r="9">
      <c r="A9" s="12" t="s">
        <v>6</v>
      </c>
      <c r="B9" s="2">
        <v>660.0</v>
      </c>
    </row>
    <row r="10">
      <c r="A10" s="12" t="s">
        <v>11</v>
      </c>
      <c r="B10" s="2">
        <v>660.0</v>
      </c>
    </row>
    <row r="11">
      <c r="A11" s="12" t="s">
        <v>14</v>
      </c>
      <c r="B11" s="2">
        <v>660.0</v>
      </c>
    </row>
    <row r="12">
      <c r="A12" s="12" t="s">
        <v>16</v>
      </c>
      <c r="B12" s="2">
        <v>660.0</v>
      </c>
    </row>
    <row r="13">
      <c r="A13" s="12" t="s">
        <v>19</v>
      </c>
      <c r="B13" s="2">
        <v>640.0</v>
      </c>
    </row>
    <row r="14">
      <c r="A14" s="12" t="s">
        <v>21</v>
      </c>
      <c r="B14" s="2">
        <v>640.0</v>
      </c>
    </row>
    <row r="15">
      <c r="A15" s="12" t="s">
        <v>1</v>
      </c>
      <c r="B15" s="2">
        <v>620.0</v>
      </c>
    </row>
    <row r="16">
      <c r="A16" s="12" t="s">
        <v>12</v>
      </c>
      <c r="B16" s="2">
        <v>620.0</v>
      </c>
    </row>
    <row r="17">
      <c r="A17" s="12" t="s">
        <v>9</v>
      </c>
      <c r="B17" s="2">
        <v>600.0</v>
      </c>
    </row>
    <row r="18">
      <c r="A18" s="12" t="s">
        <v>13</v>
      </c>
      <c r="B18" s="2">
        <v>600.0</v>
      </c>
    </row>
    <row r="19">
      <c r="A19" s="12" t="s">
        <v>3</v>
      </c>
      <c r="B19" s="2">
        <v>580.0</v>
      </c>
    </row>
    <row r="20">
      <c r="A20" s="12" t="s">
        <v>8</v>
      </c>
      <c r="B20" s="2">
        <v>560.0</v>
      </c>
    </row>
    <row r="21">
      <c r="A21" s="12" t="s">
        <v>15</v>
      </c>
      <c r="B21" s="2">
        <v>560.0</v>
      </c>
    </row>
    <row r="22">
      <c r="A22" s="12" t="s">
        <v>17</v>
      </c>
      <c r="B22" s="2">
        <v>560.0</v>
      </c>
    </row>
    <row r="23">
      <c r="A23" s="12" t="s">
        <v>7</v>
      </c>
      <c r="B23" s="2">
        <v>520.0</v>
      </c>
    </row>
    <row r="24">
      <c r="A24" s="13"/>
    </row>
    <row r="25">
      <c r="A25" s="14" t="s">
        <v>86</v>
      </c>
      <c r="B25" s="15">
        <f>SUM(B2:B23)</f>
        <v>14140</v>
      </c>
    </row>
    <row r="26">
      <c r="A26" s="14" t="s">
        <v>87</v>
      </c>
      <c r="B26" s="15">
        <f>ROUND(B25/22,0)</f>
        <v>643</v>
      </c>
    </row>
    <row r="27">
      <c r="A27" s="14" t="s">
        <v>88</v>
      </c>
      <c r="B27" s="16">
        <f>Round(B25/(Detail!X1),0)</f>
        <v>236</v>
      </c>
    </row>
    <row r="28">
      <c r="A28" s="14" t="s">
        <v>89</v>
      </c>
      <c r="B28" s="15">
        <f>(Detail!X1) * 10</f>
        <v>600</v>
      </c>
    </row>
    <row r="29">
      <c r="A29" s="12"/>
    </row>
    <row r="30">
      <c r="A30" s="12"/>
    </row>
  </sheetData>
  <drawing r:id="rId1"/>
</worksheet>
</file>