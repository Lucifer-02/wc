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<sst xmlns="http://schemas.openxmlformats.org/spreadsheetml/2006/main" count="74" uniqueCount="53">
  <si>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</si>
  <si>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</si>
  <si>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</si>
  <si>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</si>
  <si>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</si>
  <si>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</si>
  <si>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</si>
  <si>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</si>
  <si>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</si>
  <si>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</si>
  <si>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</si>
  <si>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</si>
  <si>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</si>
  <si>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</si>
  <si>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</si>
  <si>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</si>
  <si>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</si>
  <si>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</si>
  <si>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</si>
  <si>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</si>
  <si>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</si>
  <si>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</si>
  <si>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</si>
  <si>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</si>
  <si>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</si>
  <si>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</si>
  <si>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</si>
  <si>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</si>
  <si>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</si>
  <si>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</si>
  <si>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</si>
  <si>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</si>
  <si>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</si>
  <si>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</si>
  <si>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</si>
  <si>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</si>
  <si>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</si>
  <si>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</si>
  <si>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</si>
  <si>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</si>
  <si>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</si>
  <si>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</si>
  <si>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</si>
  <si>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</si>
  <si>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</si>
  <si>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</si>
  <si>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t>Colombia - Uzbekistan</t>
  </si>
  <si>
    <t>Séc - Nam Phi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</si>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</sst>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240</v>
      </c>
      <c r="C1" s="1">
        <f t="shared" si="1"/>
        <v>260</v>
      </c>
      <c r="D1" s="1">
        <f t="shared" si="1"/>
        <v>220</v>
      </c>
      <c r="E1" s="1">
        <f t="shared" si="1"/>
        <v>240</v>
      </c>
      <c r="F1" s="1">
        <f t="shared" si="1"/>
        <v>280</v>
      </c>
      <c r="G1" s="1">
        <f t="shared" si="1"/>
        <v>260</v>
      </c>
      <c r="H1" s="1">
        <f t="shared" si="1"/>
        <v>220</v>
      </c>
      <c r="I1" s="1">
        <f t="shared" si="1"/>
        <v>240</v>
      </c>
      <c r="J1" s="1">
        <f t="shared" si="1"/>
        <v>160</v>
      </c>
      <c r="K1" s="1">
        <f t="shared" si="1"/>
        <v>220</v>
      </c>
      <c r="L1" s="1">
        <f t="shared" si="1"/>
        <v>280</v>
      </c>
      <c r="M1" s="1">
        <f t="shared" si="1"/>
        <v>220</v>
      </c>
      <c r="N1" s="1">
        <f t="shared" si="1"/>
        <v>240</v>
      </c>
      <c r="O1" s="1">
        <f t="shared" si="1"/>
        <v>220</v>
      </c>
      <c r="P1" s="1">
        <f t="shared" si="1"/>
        <v>240</v>
      </c>
      <c r="Q1" s="1">
        <f t="shared" si="1"/>
        <v>220</v>
      </c>
      <c r="R1" s="1">
        <f t="shared" si="1"/>
        <v>220</v>
      </c>
      <c r="S1" s="1">
        <f t="shared" si="1"/>
        <v>200</v>
      </c>
      <c r="T1" s="1">
        <f t="shared" si="1"/>
        <v>220</v>
      </c>
      <c r="U1" s="1">
        <f t="shared" si="1"/>
        <v>280</v>
      </c>
      <c r="V1" s="1">
        <f t="shared" si="1"/>
        <v>280</v>
      </c>
      <c r="W1" s="1">
        <f t="shared" si="1"/>
        <v>220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G26" s="6">
        <v>20.0</v>
      </c>
      <c r="X26" s="7">
        <f t="shared" si="2"/>
        <v>20</v>
      </c>
    </row>
    <row r="27">
      <c r="A27" s="5" t="s">
        <v>47</v>
      </c>
      <c r="X27" s="7">
        <f t="shared" si="2"/>
        <v>0</v>
      </c>
    </row>
    <row r="28">
      <c r="A28" s="8"/>
      <c r="X28" s="7">
        <f t="shared" si="2"/>
        <v>0</v>
      </c>
    </row>
    <row r="29">
      <c r="A29" s="8"/>
      <c r="X29" s="7">
        <f t="shared" si="2"/>
        <v>0</v>
      </c>
    </row>
    <row r="30">
      <c r="A30" s="8"/>
      <c r="X30" s="7">
        <f t="shared" si="2"/>
        <v>0</v>
      </c>
    </row>
    <row r="31">
      <c r="A31" s="8"/>
      <c r="X31" s="7">
        <f t="shared" si="2"/>
        <v>0</v>
      </c>
    </row>
    <row r="32">
      <c r="A32" s="8"/>
      <c r="X32" s="7">
        <f t="shared" si="2"/>
        <v>0</v>
      </c>
    </row>
    <row r="33">
      <c r="A33" s="8"/>
      <c r="X33" s="7">
        <f t="shared" si="2"/>
        <v>0</v>
      </c>
    </row>
    <row r="34">
      <c r="A34" s="8"/>
      <c r="X34" s="7">
        <f t="shared" si="2"/>
        <v>0</v>
      </c>
    </row>
    <row r="35">
      <c r="A35" s="8"/>
      <c r="X35" s="7">
        <f t="shared" si="2"/>
        <v>0</v>
      </c>
    </row>
    <row r="36">
      <c r="A36" s="8"/>
      <c r="X36" s="7">
        <f t="shared" si="2"/>
        <v>0</v>
      </c>
    </row>
    <row r="37">
      <c r="A37" s="8"/>
      <c r="X37" s="7">
        <f t="shared" si="2"/>
        <v>0</v>
      </c>
    </row>
    <row r="38">
      <c r="A38" s="8"/>
      <c r="X38" s="7">
        <f t="shared" si="2"/>
        <v>0</v>
      </c>
    </row>
    <row r="39">
      <c r="A39" s="8"/>
      <c r="X39" s="7">
        <f t="shared" si="2"/>
        <v>0</v>
      </c>
    </row>
    <row r="40">
      <c r="A40" s="8"/>
      <c r="X40" s="7">
        <f t="shared" si="2"/>
        <v>0</v>
      </c>
    </row>
    <row r="41">
      <c r="A41" s="8"/>
      <c r="X41" s="7">
        <f t="shared" si="2"/>
        <v>0</v>
      </c>
    </row>
    <row r="42">
      <c r="A42" s="8"/>
      <c r="X42" s="7">
        <f t="shared" si="2"/>
        <v>0</v>
      </c>
    </row>
    <row r="43">
      <c r="A43" s="8"/>
      <c r="X43" s="7">
        <f t="shared" si="2"/>
        <v>0</v>
      </c>
    </row>
    <row r="44">
      <c r="A44" s="8"/>
      <c r="X44" s="7">
        <f t="shared" si="2"/>
        <v>0</v>
      </c>
    </row>
    <row r="45">
      <c r="A45" s="8"/>
      <c r="X45" s="7">
        <f t="shared" si="2"/>
        <v>0</v>
      </c>
    </row>
    <row r="46">
      <c r="A46" s="8"/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48</v>
      </c>
      <c r="B1" s="9" t="s">
        <v>49</v>
      </c>
      <c r="C1" s="9" t="s">
        <v>50</v>
      </c>
    </row>
    <row r="2">
      <c r="A2" s="10" t="str">
        <f t="array" ref="A2:B23">SORT(
TRANSPOSE({Detail!B2:W2;Detail!B1:W1}),
2,
FALSE
)</f>
        <v>Tiến Tùng</v>
      </c>
      <c r="B2" s="7">
        <v>280.0</v>
      </c>
    </row>
    <row r="3">
      <c r="A3" s="10" t="s">
        <v>10</v>
      </c>
      <c r="B3" s="7">
        <v>280.0</v>
      </c>
    </row>
    <row r="4">
      <c r="A4" s="10" t="s">
        <v>19</v>
      </c>
      <c r="B4" s="7">
        <v>280.0</v>
      </c>
    </row>
    <row r="5">
      <c r="A5" s="10" t="s">
        <v>20</v>
      </c>
      <c r="B5" s="7">
        <v>280.0</v>
      </c>
    </row>
    <row r="6">
      <c r="A6" s="10" t="s">
        <v>1</v>
      </c>
      <c r="B6" s="7">
        <v>260.0</v>
      </c>
    </row>
    <row r="7">
      <c r="A7" s="10" t="s">
        <v>5</v>
      </c>
      <c r="B7" s="7">
        <v>260.0</v>
      </c>
    </row>
    <row r="8">
      <c r="A8" s="10" t="s">
        <v>0</v>
      </c>
      <c r="B8" s="7">
        <v>240.0</v>
      </c>
    </row>
    <row r="9">
      <c r="A9" s="10" t="s">
        <v>3</v>
      </c>
      <c r="B9" s="7">
        <v>240.0</v>
      </c>
    </row>
    <row r="10">
      <c r="A10" s="10" t="s">
        <v>7</v>
      </c>
      <c r="B10" s="7">
        <v>240.0</v>
      </c>
    </row>
    <row r="11">
      <c r="A11" s="10" t="s">
        <v>12</v>
      </c>
      <c r="B11" s="7">
        <v>240.0</v>
      </c>
    </row>
    <row r="12">
      <c r="A12" s="10" t="s">
        <v>14</v>
      </c>
      <c r="B12" s="7">
        <v>240.0</v>
      </c>
    </row>
    <row r="13">
      <c r="A13" s="10" t="s">
        <v>2</v>
      </c>
      <c r="B13" s="7">
        <v>220.0</v>
      </c>
    </row>
    <row r="14">
      <c r="A14" s="10" t="s">
        <v>6</v>
      </c>
      <c r="B14" s="7">
        <v>220.0</v>
      </c>
    </row>
    <row r="15">
      <c r="A15" s="10" t="s">
        <v>9</v>
      </c>
      <c r="B15" s="7">
        <v>220.0</v>
      </c>
    </row>
    <row r="16">
      <c r="A16" s="10" t="s">
        <v>11</v>
      </c>
      <c r="B16" s="7">
        <v>220.0</v>
      </c>
    </row>
    <row r="17">
      <c r="A17" s="10" t="s">
        <v>13</v>
      </c>
      <c r="B17" s="7">
        <v>220.0</v>
      </c>
    </row>
    <row r="18">
      <c r="A18" s="10" t="s">
        <v>15</v>
      </c>
      <c r="B18" s="7">
        <v>220.0</v>
      </c>
    </row>
    <row r="19">
      <c r="A19" s="10" t="s">
        <v>16</v>
      </c>
      <c r="B19" s="7">
        <v>220.0</v>
      </c>
    </row>
    <row r="20">
      <c r="A20" s="10" t="s">
        <v>18</v>
      </c>
      <c r="B20" s="7">
        <v>220.0</v>
      </c>
    </row>
    <row r="21">
      <c r="A21" s="10" t="s">
        <v>21</v>
      </c>
      <c r="B21" s="7">
        <v>220.0</v>
      </c>
    </row>
    <row r="22">
      <c r="A22" s="10" t="s">
        <v>17</v>
      </c>
      <c r="B22" s="7">
        <v>200.0</v>
      </c>
    </row>
    <row r="23">
      <c r="A23" s="10" t="s">
        <v>8</v>
      </c>
      <c r="B23" s="7">
        <v>160.0</v>
      </c>
    </row>
    <row r="24">
      <c r="A24" s="11"/>
    </row>
    <row r="25">
      <c r="A25" s="12" t="s">
        <v>51</v>
      </c>
      <c r="B25" s="13">
        <f>SUM(B2:B23)</f>
        <v>5180</v>
      </c>
    </row>
    <row r="26">
      <c r="A26" s="12" t="s">
        <v>52</v>
      </c>
      <c r="B26" s="13">
        <f>ROUND(B25/22,0)</f>
        <v>235</v>
      </c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