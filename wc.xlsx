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<sst xmlns="http://schemas.openxmlformats.org/spreadsheetml/2006/main" count="137" uniqueCount="116">
  <si>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</si>
  <si>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</si>
  <si>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</si>
  <si>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</si>
  <si>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</si>
  <si>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</si>
  <si>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</si>
  <si>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</si>
  <si>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</si>
  <si>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</si>
  <si>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</si>
  <si>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</si>
  <si>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</si>
  <si>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</si>
  <si>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</si>
  <si>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</si>
  <si>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</si>
  <si>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</si>
  <si>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</si>
  <si>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</si>
  <si>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</si>
  <si>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</si>
  <si>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</si>
  <si>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</si>
  <si>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</si>
  <si>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</si>
  <si>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</si>
  <si>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</si>
  <si>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</si>
  <si>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</si>
  <si>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</si>
  <si>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</si>
  <si>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</si>
  <si>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</si>
  <si>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</si>
  <si>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</si>
  <si>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</si>
  <si>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</si>
  <si>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</si>
  <si>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</si>
  <si>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</si>
  <si>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</si>
  <si>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</si>
  <si>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</si>
  <si>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</si>
  <si>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</si>
  <si>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</si>
  <si>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</si>
  <si>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</si>
  <si>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</si>
  <si>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</si>
  <si>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</si>
  <si>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</si>
  <si>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</si>
  <si>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</si>
  <si>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</si>
  <si>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</si>
  <si>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</si>
  <si>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</si>
  <si>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</si>
  <si>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</si>
  <si>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</si>
  <si>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</si>
  <si>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</si>
  <si>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</si>
  <si>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</si>
  <si>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</si>
  <si>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</si>
  <si>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</si>
  <si>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</si>
  <si>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</si>
  <si>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</si>
  <si>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</si>
  <si>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</si>
  <si>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</si>
  <si>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</si>
  <si>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</si>
  <si>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</si>
  <si>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</si>
  <si>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</si>
  <si>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</si>
  <si>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</si>
  <si>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</si>
  <si>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</si>
  <si>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</si>
  <si>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</si>
  <si>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</si>
  <si>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</si>
  <si>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</si>
  <si>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</si>
  <si>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</si>
  <si>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</si>
  <si>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</si>
  <si>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</si>
  <si>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</si>
  <si>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</si>
  <si>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</si>
  <si>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</si>
  <si>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</si>
  <si>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</si>
  <si>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</si>
  <si>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</si>
  <si>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</si>
  <si>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</si>
  <si>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</si>
  <si>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</si>
  <si>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</si>
  <si>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</si>
  <si>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t>Ai Cập - Úc</t>
  </si>
  <si>
    <t>Argentina - Cape Verde</t>
  </si>
  <si>
    <t>Colombia - Ghana</t>
  </si>
  <si>
    <t>Vua đóng góp</t>
  </si>
  <si>
    <t>Góp gạo</t>
  </si>
  <si>
    <t>Ngôi sao hi vọng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</si>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</sst>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1320</v>
      </c>
      <c r="C1" s="1">
        <f t="shared" si="1"/>
        <v>900</v>
      </c>
      <c r="D1" s="1">
        <f t="shared" si="1"/>
        <v>1060</v>
      </c>
      <c r="E1" s="1">
        <f t="shared" si="1"/>
        <v>950</v>
      </c>
      <c r="F1" s="1">
        <f t="shared" si="1"/>
        <v>1300</v>
      </c>
      <c r="G1" s="1">
        <f t="shared" si="1"/>
        <v>1140</v>
      </c>
      <c r="H1" s="1">
        <f t="shared" si="1"/>
        <v>1040</v>
      </c>
      <c r="I1" s="1">
        <f t="shared" si="1"/>
        <v>800</v>
      </c>
      <c r="J1" s="1">
        <f t="shared" si="1"/>
        <v>930</v>
      </c>
      <c r="K1" s="1">
        <f t="shared" si="1"/>
        <v>920</v>
      </c>
      <c r="L1" s="1">
        <f t="shared" si="1"/>
        <v>1070</v>
      </c>
      <c r="M1" s="1">
        <f t="shared" si="1"/>
        <v>1000</v>
      </c>
      <c r="N1" s="1">
        <f t="shared" si="1"/>
        <v>980</v>
      </c>
      <c r="O1" s="1">
        <f t="shared" si="1"/>
        <v>1060</v>
      </c>
      <c r="P1" s="1">
        <f t="shared" si="1"/>
        <v>1000</v>
      </c>
      <c r="Q1" s="1">
        <f t="shared" si="1"/>
        <v>840</v>
      </c>
      <c r="R1" s="1">
        <f t="shared" si="1"/>
        <v>1010</v>
      </c>
      <c r="S1" s="1">
        <f t="shared" si="1"/>
        <v>900</v>
      </c>
      <c r="T1" s="1">
        <f t="shared" si="1"/>
        <v>1040</v>
      </c>
      <c r="U1" s="1">
        <f t="shared" si="1"/>
        <v>880</v>
      </c>
      <c r="V1" s="1">
        <f t="shared" si="1"/>
        <v>1010</v>
      </c>
      <c r="W1" s="1">
        <f t="shared" si="1"/>
        <v>1150</v>
      </c>
      <c r="X1" s="2">
        <f>COUNTIF(X3:X130,"&gt;0")</f>
        <v>85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X88" s="2">
        <f t="shared" si="2"/>
        <v>0</v>
      </c>
    </row>
    <row r="89">
      <c r="A89" s="6" t="s">
        <v>109</v>
      </c>
      <c r="X89" s="2">
        <f t="shared" si="2"/>
        <v>0</v>
      </c>
    </row>
    <row r="90">
      <c r="A90" s="6" t="s">
        <v>110</v>
      </c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111</v>
      </c>
      <c r="B1" s="11" t="s">
        <v>112</v>
      </c>
      <c r="C1" s="11" t="s">
        <v>113</v>
      </c>
    </row>
    <row r="2">
      <c r="A2" s="12" t="str">
        <f t="array" ref="A2:B23">SORT(
TRANSPOSE({Detail!B2:W2;Detail!B1:W1}),
2,
FALSE
)</f>
        <v>Thái Bình</v>
      </c>
      <c r="B2" s="2">
        <v>1320.0</v>
      </c>
    </row>
    <row r="3">
      <c r="A3" s="12" t="s">
        <v>4</v>
      </c>
      <c r="B3" s="2">
        <v>1300.0</v>
      </c>
    </row>
    <row r="4">
      <c r="A4" s="12" t="s">
        <v>21</v>
      </c>
      <c r="B4" s="2">
        <v>1150.0</v>
      </c>
    </row>
    <row r="5">
      <c r="A5" s="12" t="s">
        <v>5</v>
      </c>
      <c r="B5" s="2">
        <v>1140.0</v>
      </c>
    </row>
    <row r="6">
      <c r="A6" s="12" t="s">
        <v>10</v>
      </c>
      <c r="B6" s="2">
        <v>1070.0</v>
      </c>
    </row>
    <row r="7">
      <c r="A7" s="12" t="s">
        <v>2</v>
      </c>
      <c r="B7" s="2">
        <v>1060.0</v>
      </c>
    </row>
    <row r="8">
      <c r="A8" s="12" t="s">
        <v>13</v>
      </c>
      <c r="B8" s="2">
        <v>1060.0</v>
      </c>
    </row>
    <row r="9">
      <c r="A9" s="12" t="s">
        <v>6</v>
      </c>
      <c r="B9" s="2">
        <v>1040.0</v>
      </c>
    </row>
    <row r="10">
      <c r="A10" s="12" t="s">
        <v>18</v>
      </c>
      <c r="B10" s="2">
        <v>1040.0</v>
      </c>
    </row>
    <row r="11">
      <c r="A11" s="12" t="s">
        <v>16</v>
      </c>
      <c r="B11" s="2">
        <v>1010.0</v>
      </c>
    </row>
    <row r="12">
      <c r="A12" s="12" t="s">
        <v>20</v>
      </c>
      <c r="B12" s="2">
        <v>1010.0</v>
      </c>
    </row>
    <row r="13">
      <c r="A13" s="12" t="s">
        <v>11</v>
      </c>
      <c r="B13" s="2">
        <v>1000.0</v>
      </c>
    </row>
    <row r="14">
      <c r="A14" s="12" t="s">
        <v>14</v>
      </c>
      <c r="B14" s="2">
        <v>1000.0</v>
      </c>
    </row>
    <row r="15">
      <c r="A15" s="12" t="s">
        <v>12</v>
      </c>
      <c r="B15" s="2">
        <v>980.0</v>
      </c>
    </row>
    <row r="16">
      <c r="A16" s="12" t="s">
        <v>3</v>
      </c>
      <c r="B16" s="2">
        <v>950.0</v>
      </c>
    </row>
    <row r="17">
      <c r="A17" s="12" t="s">
        <v>8</v>
      </c>
      <c r="B17" s="2">
        <v>930.0</v>
      </c>
    </row>
    <row r="18">
      <c r="A18" s="12" t="s">
        <v>9</v>
      </c>
      <c r="B18" s="2">
        <v>920.0</v>
      </c>
    </row>
    <row r="19">
      <c r="A19" s="12" t="s">
        <v>1</v>
      </c>
      <c r="B19" s="2">
        <v>900.0</v>
      </c>
    </row>
    <row r="20">
      <c r="A20" s="12" t="s">
        <v>17</v>
      </c>
      <c r="B20" s="2">
        <v>900.0</v>
      </c>
    </row>
    <row r="21">
      <c r="A21" s="12" t="s">
        <v>19</v>
      </c>
      <c r="B21" s="2">
        <v>880.0</v>
      </c>
    </row>
    <row r="22">
      <c r="A22" s="12" t="s">
        <v>15</v>
      </c>
      <c r="B22" s="2">
        <v>840.0</v>
      </c>
    </row>
    <row r="23">
      <c r="A23" s="12" t="s">
        <v>7</v>
      </c>
      <c r="B23" s="2">
        <v>800.0</v>
      </c>
    </row>
    <row r="24">
      <c r="A24" s="13"/>
    </row>
    <row r="25">
      <c r="A25" s="14" t="s">
        <v>114</v>
      </c>
      <c r="B25" s="15">
        <f>SUM(B2:B23)</f>
        <v>22300</v>
      </c>
    </row>
    <row r="26">
      <c r="A26" s="14" t="s">
        <v>115</v>
      </c>
      <c r="B26" s="15">
        <f>ROUND(B25/22,0)</f>
        <v>1014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