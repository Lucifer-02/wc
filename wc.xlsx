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  <sheet state="visible" name="Ngôi sao" sheetId="3" r:id="rId7"/>
  </sheets>
  <definedNames/>
  <calcPr/>
</workbook>
</file>

<file path=xl/sharedStrings.xml><?xml version="1.0" encoding="utf-8"?>
<sst xmlns="http://schemas.openxmlformats.org/spreadsheetml/2006/main" count="147" uniqueCount="123">
  <si>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</si>
  <si>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</si>
  <si>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</si>
  <si>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</si>
  <si>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</si>
  <si>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</si>
  <si>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</si>
  <si>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</si>
  <si>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</si>
  <si>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</si>
  <si>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</si>
  <si>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</si>
  <si>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</si>
  <si>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</si>
  <si>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</si>
  <si>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</si>
  <si>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</si>
  <si>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</si>
  <si>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</si>
  <si>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</si>
  <si>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</si>
  <si>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</si>
  <si>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</si>
  <si>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</si>
  <si>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</si>
  <si>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</si>
  <si>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</si>
  <si>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</si>
  <si>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</si>
  <si>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</si>
  <si>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</si>
  <si>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</si>
  <si>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</si>
  <si>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</si>
  <si>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</si>
  <si>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</si>
  <si>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</si>
  <si>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</si>
  <si>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</si>
  <si>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</si>
  <si>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</si>
  <si>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</si>
  <si>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</si>
  <si>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</si>
  <si>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</si>
  <si>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</si>
  <si>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</si>
  <si>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</si>
  <si>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</si>
  <si>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</si>
  <si>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</si>
  <si>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</si>
  <si>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</si>
  <si>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</si>
  <si>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</si>
  <si>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</si>
  <si>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</si>
  <si>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</si>
  <si>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</si>
  <si>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</si>
  <si>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</si>
  <si>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</si>
  <si>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</si>
  <si>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</si>
  <si>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</si>
  <si>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</si>
  <si>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</si>
  <si>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</si>
  <si>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</si>
  <si>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</si>
  <si>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</si>
  <si>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</si>
  <si>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</si>
  <si>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</si>
  <si>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</si>
  <si>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</si>
  <si>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</si>
  <si>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</si>
  <si>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</si>
  <si>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</si>
  <si>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</si>
  <si>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</si>
  <si>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</si>
  <si>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</si>
  <si>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</si>
  <si>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</si>
  <si>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</si>
  <si>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</si>
  <si>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</si>
  <si>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</si>
  <si>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</si>
  <si>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</si>
  <si>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</si>
  <si>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</si>
  <si>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</si>
  <si>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</si>
  <si>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</si>
  <si>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</si>
  <si>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</si>
  <si>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</si>
  <si>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</si>
  <si>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</si>
  <si>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</si>
  <si>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</si>
  <si>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</si>
  <si>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</si>
  <si>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</si>
  <si>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</si>
  <si>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</si>
  <si>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</si>
  <si>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</si>
  <si>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</si>
  <si>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</si>
  <si>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</si>
  <si>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</si>
  <si>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Bồ Đào Nha</t>
    </r>
  </si>
  <si>
    <r>
      <rPr>
        <rFont val="Arial"/>
        <b/>
        <color theme="1"/>
      </rPr>
      <t>Bỉ</t>
    </r>
    <r>
      <rPr>
        <rFont val="Arial"/>
        <color theme="1"/>
      </rPr>
      <t xml:space="preserve"> - Mỹ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</si>
  <si>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Ai Cập</t>
    </r>
  </si>
  <si>
    <r>
      <t xml:space="preserve">Colombia - </t>
    </r>
    <r>
      <rPr>
        <rFont val="Arial"/>
        <b/>
        <color theme="1"/>
      </rPr>
      <t>Thuỵ Sĩ</t>
    </r>
  </si>
  <si>
    <t>Vua đóng góp</t>
  </si>
  <si>
    <t>Góp gạo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</si>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</sst>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1520</v>
      </c>
      <c r="C1" s="1">
        <f t="shared" si="1"/>
        <v>1150</v>
      </c>
      <c r="D1" s="1">
        <f t="shared" si="1"/>
        <v>1260</v>
      </c>
      <c r="E1" s="1">
        <f t="shared" si="1"/>
        <v>1200</v>
      </c>
      <c r="F1" s="1">
        <f t="shared" si="1"/>
        <v>1650</v>
      </c>
      <c r="G1" s="1">
        <f t="shared" si="1"/>
        <v>1390</v>
      </c>
      <c r="H1" s="1">
        <f t="shared" si="1"/>
        <v>1190</v>
      </c>
      <c r="I1" s="1">
        <f t="shared" si="1"/>
        <v>1100</v>
      </c>
      <c r="J1" s="1">
        <f t="shared" si="1"/>
        <v>1230</v>
      </c>
      <c r="K1" s="1">
        <f t="shared" si="1"/>
        <v>1270</v>
      </c>
      <c r="L1" s="1">
        <f t="shared" si="1"/>
        <v>1370</v>
      </c>
      <c r="M1" s="1">
        <f t="shared" si="1"/>
        <v>1300</v>
      </c>
      <c r="N1" s="1">
        <f t="shared" si="1"/>
        <v>1280</v>
      </c>
      <c r="O1" s="1">
        <f t="shared" si="1"/>
        <v>1460</v>
      </c>
      <c r="P1" s="1">
        <f t="shared" si="1"/>
        <v>1300</v>
      </c>
      <c r="Q1" s="1">
        <f t="shared" si="1"/>
        <v>1040</v>
      </c>
      <c r="R1" s="1">
        <f t="shared" si="1"/>
        <v>1260</v>
      </c>
      <c r="S1" s="1">
        <f t="shared" si="1"/>
        <v>1150</v>
      </c>
      <c r="T1" s="1">
        <f t="shared" si="1"/>
        <v>1340</v>
      </c>
      <c r="U1" s="1">
        <f t="shared" si="1"/>
        <v>1130</v>
      </c>
      <c r="V1" s="1">
        <f t="shared" si="1"/>
        <v>1360</v>
      </c>
      <c r="W1" s="1">
        <f t="shared" si="1"/>
        <v>1500</v>
      </c>
      <c r="X1" s="2">
        <f>COUNTIF(X3:X130,"&gt;0")</f>
        <v>96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7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6" t="s">
        <v>115</v>
      </c>
      <c r="B95" s="7">
        <v>50.0</v>
      </c>
      <c r="F95" s="7">
        <v>50.0</v>
      </c>
      <c r="G95" s="7">
        <v>50.0</v>
      </c>
      <c r="I95" s="7">
        <v>100.0</v>
      </c>
      <c r="J95" s="7">
        <v>50.0</v>
      </c>
      <c r="P95" s="7">
        <v>50.0</v>
      </c>
      <c r="R95" s="7">
        <v>50.0</v>
      </c>
      <c r="V95" s="7">
        <v>100.0</v>
      </c>
      <c r="X95" s="2">
        <f t="shared" si="2"/>
        <v>500</v>
      </c>
    </row>
    <row r="96">
      <c r="A96" s="6" t="s">
        <v>116</v>
      </c>
      <c r="B96" s="7">
        <v>50.0</v>
      </c>
      <c r="C96" s="7">
        <v>50.0</v>
      </c>
      <c r="D96" s="7">
        <v>50.0</v>
      </c>
      <c r="E96" s="7">
        <v>50.0</v>
      </c>
      <c r="G96" s="7">
        <v>50.0</v>
      </c>
      <c r="I96" s="7">
        <v>50.0</v>
      </c>
      <c r="J96" s="7">
        <v>50.0</v>
      </c>
      <c r="K96" s="7">
        <v>50.0</v>
      </c>
      <c r="L96" s="7">
        <v>50.0</v>
      </c>
      <c r="M96" s="7">
        <v>50.0</v>
      </c>
      <c r="P96" s="7">
        <v>50.0</v>
      </c>
      <c r="Q96" s="7">
        <v>50.0</v>
      </c>
      <c r="R96" s="7">
        <v>50.0</v>
      </c>
      <c r="S96" s="7">
        <v>50.0</v>
      </c>
      <c r="T96" s="7">
        <v>50.0</v>
      </c>
      <c r="V96" s="7">
        <v>50.0</v>
      </c>
      <c r="W96" s="7">
        <v>50.0</v>
      </c>
      <c r="X96" s="2">
        <f t="shared" si="2"/>
        <v>850</v>
      </c>
    </row>
    <row r="97">
      <c r="A97" s="6" t="s">
        <v>117</v>
      </c>
      <c r="D97" s="7">
        <v>50.0</v>
      </c>
      <c r="F97" s="7">
        <v>50.0</v>
      </c>
      <c r="I97" s="7">
        <v>50.0</v>
      </c>
      <c r="J97" s="7">
        <v>50.0</v>
      </c>
      <c r="K97" s="7">
        <v>50.0</v>
      </c>
      <c r="L97" s="7">
        <v>50.0</v>
      </c>
      <c r="M97" s="7">
        <v>50.0</v>
      </c>
      <c r="N97" s="7">
        <v>50.0</v>
      </c>
      <c r="O97" s="7">
        <v>50.0</v>
      </c>
      <c r="P97" s="7">
        <v>50.0</v>
      </c>
      <c r="T97" s="7">
        <v>50.0</v>
      </c>
      <c r="U97" s="7">
        <v>50.0</v>
      </c>
      <c r="V97" s="7">
        <v>50.0</v>
      </c>
      <c r="W97" s="7">
        <v>50.0</v>
      </c>
      <c r="X97" s="2">
        <f t="shared" si="2"/>
        <v>700</v>
      </c>
    </row>
    <row r="98">
      <c r="A98" s="6" t="s">
        <v>118</v>
      </c>
      <c r="G98" s="7">
        <v>50.0</v>
      </c>
      <c r="L98" s="7">
        <v>50.0</v>
      </c>
      <c r="O98" s="7">
        <v>50.0</v>
      </c>
      <c r="P98" s="7">
        <v>50.0</v>
      </c>
      <c r="R98" s="7">
        <v>50.0</v>
      </c>
      <c r="S98" s="7">
        <v>50.0</v>
      </c>
      <c r="W98" s="7">
        <v>50.0</v>
      </c>
      <c r="X98" s="2">
        <f t="shared" si="2"/>
        <v>350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13.5"/>
  </cols>
  <sheetData>
    <row r="1">
      <c r="A1" s="11" t="s">
        <v>119</v>
      </c>
      <c r="B1" s="11" t="s">
        <v>120</v>
      </c>
      <c r="C1" s="11"/>
    </row>
    <row r="2">
      <c r="A2" s="12" t="str">
        <f t="array" ref="A2:B23">SORT(
TRANSPOSE({Detail!B2:W2;Detail!B1:W1}),
2,
FALSE
)</f>
        <v>Tiến Tùng</v>
      </c>
      <c r="B2" s="2">
        <v>1650.0</v>
      </c>
      <c r="C2" s="12"/>
    </row>
    <row r="3">
      <c r="A3" s="12" t="s">
        <v>0</v>
      </c>
      <c r="B3" s="2">
        <v>1520.0</v>
      </c>
      <c r="C3" s="12"/>
    </row>
    <row r="4">
      <c r="A4" s="12" t="s">
        <v>21</v>
      </c>
      <c r="B4" s="2">
        <v>1500.0</v>
      </c>
      <c r="C4" s="12"/>
    </row>
    <row r="5">
      <c r="A5" s="12" t="s">
        <v>13</v>
      </c>
      <c r="B5" s="2">
        <v>1460.0</v>
      </c>
      <c r="C5" s="12"/>
    </row>
    <row r="6">
      <c r="A6" s="12" t="s">
        <v>5</v>
      </c>
      <c r="B6" s="2">
        <v>1390.0</v>
      </c>
      <c r="C6" s="12"/>
    </row>
    <row r="7">
      <c r="A7" s="12" t="s">
        <v>10</v>
      </c>
      <c r="B7" s="2">
        <v>1370.0</v>
      </c>
      <c r="C7" s="12"/>
    </row>
    <row r="8">
      <c r="A8" s="12" t="s">
        <v>20</v>
      </c>
      <c r="B8" s="2">
        <v>1360.0</v>
      </c>
      <c r="C8" s="12"/>
    </row>
    <row r="9">
      <c r="A9" s="12" t="s">
        <v>18</v>
      </c>
      <c r="B9" s="2">
        <v>1340.0</v>
      </c>
      <c r="C9" s="12"/>
    </row>
    <row r="10">
      <c r="A10" s="12" t="s">
        <v>11</v>
      </c>
      <c r="B10" s="2">
        <v>1300.0</v>
      </c>
      <c r="C10" s="12"/>
    </row>
    <row r="11">
      <c r="A11" s="12" t="s">
        <v>14</v>
      </c>
      <c r="B11" s="2">
        <v>1300.0</v>
      </c>
      <c r="C11" s="12"/>
    </row>
    <row r="12">
      <c r="A12" s="12" t="s">
        <v>12</v>
      </c>
      <c r="B12" s="2">
        <v>1280.0</v>
      </c>
      <c r="C12" s="12"/>
    </row>
    <row r="13">
      <c r="A13" s="12" t="s">
        <v>9</v>
      </c>
      <c r="B13" s="2">
        <v>1270.0</v>
      </c>
      <c r="C13" s="12"/>
    </row>
    <row r="14">
      <c r="A14" s="12" t="s">
        <v>2</v>
      </c>
      <c r="B14" s="2">
        <v>1260.0</v>
      </c>
      <c r="C14" s="12"/>
    </row>
    <row r="15">
      <c r="A15" s="12" t="s">
        <v>16</v>
      </c>
      <c r="B15" s="2">
        <v>1260.0</v>
      </c>
      <c r="C15" s="12"/>
    </row>
    <row r="16">
      <c r="A16" s="12" t="s">
        <v>8</v>
      </c>
      <c r="B16" s="2">
        <v>1230.0</v>
      </c>
      <c r="C16" s="12"/>
    </row>
    <row r="17">
      <c r="A17" s="12" t="s">
        <v>3</v>
      </c>
      <c r="B17" s="2">
        <v>1200.0</v>
      </c>
      <c r="C17" s="12"/>
    </row>
    <row r="18">
      <c r="A18" s="12" t="s">
        <v>6</v>
      </c>
      <c r="B18" s="2">
        <v>1190.0</v>
      </c>
      <c r="C18" s="12"/>
    </row>
    <row r="19">
      <c r="A19" s="12" t="s">
        <v>1</v>
      </c>
      <c r="B19" s="2">
        <v>1150.0</v>
      </c>
      <c r="C19" s="12"/>
    </row>
    <row r="20">
      <c r="A20" s="12" t="s">
        <v>17</v>
      </c>
      <c r="B20" s="2">
        <v>1150.0</v>
      </c>
      <c r="C20" s="12"/>
    </row>
    <row r="21">
      <c r="A21" s="12" t="s">
        <v>19</v>
      </c>
      <c r="B21" s="2">
        <v>1130.0</v>
      </c>
      <c r="C21" s="12"/>
    </row>
    <row r="22">
      <c r="A22" s="12" t="s">
        <v>7</v>
      </c>
      <c r="B22" s="2">
        <v>1100.0</v>
      </c>
      <c r="C22" s="13"/>
    </row>
    <row r="23">
      <c r="A23" s="12" t="s">
        <v>15</v>
      </c>
      <c r="B23" s="2">
        <v>1040.0</v>
      </c>
      <c r="C23" s="12"/>
    </row>
    <row r="24">
      <c r="A24" s="13"/>
    </row>
    <row r="25">
      <c r="A25" s="14" t="s">
        <v>121</v>
      </c>
      <c r="B25" s="15">
        <f>SUM(B2:B23)</f>
        <v>28450</v>
      </c>
    </row>
    <row r="26">
      <c r="A26" s="14" t="s">
        <v>122</v>
      </c>
      <c r="B26" s="15">
        <f>ROUND(B25/22,0)</f>
        <v>1293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15</v>
      </c>
      <c r="B1" s="7">
        <v>1.0</v>
      </c>
    </row>
    <row r="2">
      <c r="A2" s="7" t="s">
        <v>7</v>
      </c>
      <c r="B2" s="7">
        <v>1.0</v>
      </c>
    </row>
    <row r="3">
      <c r="A3" s="7" t="s">
        <v>20</v>
      </c>
      <c r="B3" s="7">
        <v>1.0</v>
      </c>
    </row>
  </sheetData>
  <drawing r:id="rId1"/>
</worksheet>
</file>