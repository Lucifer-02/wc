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<sst xmlns="http://schemas.openxmlformats.org/spreadsheetml/2006/main" count="151" uniqueCount="127">
  <si>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</si>
  <si>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</si>
  <si>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</si>
  <si>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</si>
  <si>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</si>
  <si>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</si>
  <si>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</si>
  <si>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</si>
  <si>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</si>
  <si>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</si>
  <si>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</si>
  <si>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</si>
  <si>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</si>
  <si>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</si>
  <si>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</si>
  <si>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</si>
  <si>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</si>
  <si>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</si>
  <si>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</si>
  <si>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</si>
  <si>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</si>
  <si>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</si>
  <si>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</si>
  <si>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</si>
  <si>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</si>
  <si>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</si>
  <si>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</si>
  <si>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</si>
  <si>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</si>
  <si>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</si>
  <si>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</si>
  <si>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</si>
  <si>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</si>
  <si>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</si>
  <si>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</si>
  <si>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</si>
  <si>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</si>
  <si>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</si>
  <si>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</si>
  <si>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</si>
  <si>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</si>
  <si>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</si>
  <si>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</si>
  <si>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</si>
  <si>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</si>
  <si>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</si>
  <si>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</si>
  <si>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</si>
  <si>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</si>
  <si>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</si>
  <si>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</si>
  <si>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</si>
  <si>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</si>
  <si>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</si>
  <si>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</si>
  <si>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</si>
  <si>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</si>
  <si>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</si>
  <si>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</si>
  <si>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</si>
  <si>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</si>
  <si>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</si>
  <si>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</si>
  <si>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</si>
  <si>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</si>
  <si>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</si>
  <si>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</si>
  <si>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</si>
  <si>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</si>
  <si>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</si>
  <si>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</si>
  <si>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</si>
  <si>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</si>
  <si>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</si>
  <si>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</si>
  <si>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</si>
  <si>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</si>
  <si>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</si>
  <si>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</si>
  <si>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</si>
  <si>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</si>
  <si>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</si>
  <si>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</si>
  <si>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</si>
  <si>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</si>
  <si>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</si>
  <si>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</si>
  <si>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</si>
  <si>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</si>
  <si>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</si>
  <si>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</si>
  <si>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</si>
  <si>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</si>
  <si>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</si>
  <si>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</si>
  <si>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</si>
  <si>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</si>
  <si>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</si>
  <si>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</si>
  <si>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</si>
  <si>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</si>
  <si>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</si>
  <si>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</si>
  <si>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</si>
  <si>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</si>
  <si>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</si>
  <si>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</si>
  <si>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</si>
  <si>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</si>
  <si>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</si>
  <si>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</si>
  <si>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</si>
  <si>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</si>
  <si>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</si>
  <si>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</si>
  <si>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</si>
  <si>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</si>
  <si>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Ai Cập</t>
    </r>
  </si>
  <si>
    <r>
      <t xml:space="preserve">Colombia - </t>
    </r>
    <r>
      <rPr>
        <rFont val="Arial"/>
        <b/>
        <color theme="1"/>
      </rPr>
      <t>Thuỵ Sĩ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</si>
  <si>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Ma Rốc</t>
    </r>
  </si>
  <si>
    <t>Tây Ban Nha - Bỉ</t>
  </si>
  <si>
    <t>Anh - Na Uy</t>
  </si>
  <si>
    <t>Argentina - Thuỵ Sĩ</t>
  </si>
  <si>
    <t>Vua đóng góp</t>
  </si>
  <si>
    <t>Góp gạo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</si>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</sst>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2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1570</v>
      </c>
      <c r="C1" s="1">
        <f t="shared" si="1"/>
        <v>1200</v>
      </c>
      <c r="D1" s="1">
        <f t="shared" si="1"/>
        <v>1310</v>
      </c>
      <c r="E1" s="1">
        <f t="shared" si="1"/>
        <v>1250</v>
      </c>
      <c r="F1" s="1">
        <f t="shared" si="1"/>
        <v>1650</v>
      </c>
      <c r="G1" s="1">
        <f t="shared" si="1"/>
        <v>1390</v>
      </c>
      <c r="H1" s="1">
        <f t="shared" si="1"/>
        <v>1190</v>
      </c>
      <c r="I1" s="1">
        <f t="shared" si="1"/>
        <v>1150</v>
      </c>
      <c r="J1" s="1">
        <f t="shared" si="1"/>
        <v>1280</v>
      </c>
      <c r="K1" s="1">
        <f t="shared" si="1"/>
        <v>1320</v>
      </c>
      <c r="L1" s="1">
        <f t="shared" si="1"/>
        <v>1420</v>
      </c>
      <c r="M1" s="1">
        <f t="shared" si="1"/>
        <v>1350</v>
      </c>
      <c r="N1" s="1">
        <f t="shared" si="1"/>
        <v>1280</v>
      </c>
      <c r="O1" s="1">
        <f t="shared" si="1"/>
        <v>1460</v>
      </c>
      <c r="P1" s="1">
        <f t="shared" si="1"/>
        <v>1350</v>
      </c>
      <c r="Q1" s="1">
        <f t="shared" si="1"/>
        <v>1090</v>
      </c>
      <c r="R1" s="1">
        <f t="shared" si="1"/>
        <v>1310</v>
      </c>
      <c r="S1" s="1">
        <f t="shared" si="1"/>
        <v>1150</v>
      </c>
      <c r="T1" s="1">
        <f t="shared" si="1"/>
        <v>1390</v>
      </c>
      <c r="U1" s="1">
        <f t="shared" si="1"/>
        <v>1180</v>
      </c>
      <c r="V1" s="1">
        <f t="shared" si="1"/>
        <v>1410</v>
      </c>
      <c r="W1" s="1">
        <f t="shared" si="1"/>
        <v>1500</v>
      </c>
      <c r="X1" s="2">
        <f>COUNTIF(X3:X130,"&gt;0")</f>
        <v>97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7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7">
        <v>100.0</v>
      </c>
      <c r="J95" s="7">
        <v>50.0</v>
      </c>
      <c r="P95" s="7">
        <v>50.0</v>
      </c>
      <c r="R95" s="7">
        <v>50.0</v>
      </c>
      <c r="V95" s="7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D97" s="7">
        <v>50.0</v>
      </c>
      <c r="F97" s="7">
        <v>50.0</v>
      </c>
      <c r="I97" s="7">
        <v>50.0</v>
      </c>
      <c r="J97" s="7">
        <v>50.0</v>
      </c>
      <c r="K97" s="7">
        <v>50.0</v>
      </c>
      <c r="L97" s="7">
        <v>50.0</v>
      </c>
      <c r="M97" s="7">
        <v>50.0</v>
      </c>
      <c r="N97" s="7">
        <v>50.0</v>
      </c>
      <c r="O97" s="7">
        <v>50.0</v>
      </c>
      <c r="P97" s="7">
        <v>50.0</v>
      </c>
      <c r="T97" s="7">
        <v>50.0</v>
      </c>
      <c r="U97" s="7">
        <v>50.0</v>
      </c>
      <c r="V97" s="7">
        <v>50.0</v>
      </c>
      <c r="W97" s="7">
        <v>50.0</v>
      </c>
      <c r="X97" s="2">
        <f t="shared" si="2"/>
        <v>700</v>
      </c>
    </row>
    <row r="98">
      <c r="A98" s="6" t="s">
        <v>118</v>
      </c>
      <c r="G98" s="7">
        <v>50.0</v>
      </c>
      <c r="L98" s="7">
        <v>50.0</v>
      </c>
      <c r="O98" s="7">
        <v>50.0</v>
      </c>
      <c r="P98" s="7">
        <v>50.0</v>
      </c>
      <c r="R98" s="7">
        <v>50.0</v>
      </c>
      <c r="S98" s="7">
        <v>50.0</v>
      </c>
      <c r="W98" s="7">
        <v>50.0</v>
      </c>
      <c r="X98" s="2">
        <f t="shared" si="2"/>
        <v>350</v>
      </c>
    </row>
    <row r="99">
      <c r="A99" s="6" t="s">
        <v>119</v>
      </c>
      <c r="B99" s="7">
        <v>50.0</v>
      </c>
      <c r="C99" s="7">
        <v>50.0</v>
      </c>
      <c r="D99" s="7">
        <v>50.0</v>
      </c>
      <c r="E99" s="7">
        <v>50.0</v>
      </c>
      <c r="I99" s="7">
        <v>50.0</v>
      </c>
      <c r="J99" s="7">
        <v>50.0</v>
      </c>
      <c r="K99" s="7">
        <v>50.0</v>
      </c>
      <c r="L99" s="7">
        <v>50.0</v>
      </c>
      <c r="M99" s="7">
        <v>50.0</v>
      </c>
      <c r="P99" s="7">
        <v>50.0</v>
      </c>
      <c r="Q99" s="7">
        <v>50.0</v>
      </c>
      <c r="R99" s="7">
        <v>50.0</v>
      </c>
      <c r="T99" s="7">
        <v>50.0</v>
      </c>
      <c r="U99" s="7">
        <v>50.0</v>
      </c>
      <c r="V99" s="7">
        <v>50.0</v>
      </c>
      <c r="X99" s="2">
        <f t="shared" si="2"/>
        <v>750</v>
      </c>
    </row>
    <row r="100">
      <c r="A100" s="6" t="s">
        <v>120</v>
      </c>
      <c r="X100" s="2">
        <f t="shared" si="2"/>
        <v>0</v>
      </c>
    </row>
    <row r="101">
      <c r="A101" s="6" t="s">
        <v>121</v>
      </c>
      <c r="X101" s="2">
        <f t="shared" si="2"/>
        <v>0</v>
      </c>
    </row>
    <row r="102">
      <c r="A102" s="6" t="s">
        <v>122</v>
      </c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1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13.5"/>
  </cols>
  <sheetData>
    <row r="1">
      <c r="A1" s="12" t="s">
        <v>123</v>
      </c>
      <c r="B1" s="12" t="s">
        <v>124</v>
      </c>
      <c r="C1" s="12"/>
    </row>
    <row r="2">
      <c r="A2" s="13" t="str">
        <f t="array" ref="A2:B23">SORT(
TRANSPOSE({Detail!B2:W2;Detail!B1:W1}),
2,
FALSE
)</f>
        <v>Tiến Tùng</v>
      </c>
      <c r="B2" s="2">
        <v>1650.0</v>
      </c>
      <c r="C2" s="13"/>
    </row>
    <row r="3">
      <c r="A3" s="13" t="s">
        <v>0</v>
      </c>
      <c r="B3" s="2">
        <v>1570.0</v>
      </c>
      <c r="C3" s="13"/>
    </row>
    <row r="4">
      <c r="A4" s="13" t="s">
        <v>21</v>
      </c>
      <c r="B4" s="2">
        <v>1500.0</v>
      </c>
      <c r="C4" s="13"/>
    </row>
    <row r="5">
      <c r="A5" s="13" t="s">
        <v>13</v>
      </c>
      <c r="B5" s="2">
        <v>1460.0</v>
      </c>
      <c r="C5" s="13"/>
    </row>
    <row r="6">
      <c r="A6" s="13" t="s">
        <v>10</v>
      </c>
      <c r="B6" s="2">
        <v>1420.0</v>
      </c>
      <c r="C6" s="13"/>
    </row>
    <row r="7">
      <c r="A7" s="13" t="s">
        <v>20</v>
      </c>
      <c r="B7" s="2">
        <v>1410.0</v>
      </c>
      <c r="C7" s="13"/>
    </row>
    <row r="8">
      <c r="A8" s="13" t="s">
        <v>5</v>
      </c>
      <c r="B8" s="2">
        <v>1390.0</v>
      </c>
      <c r="C8" s="13"/>
    </row>
    <row r="9">
      <c r="A9" s="13" t="s">
        <v>18</v>
      </c>
      <c r="B9" s="2">
        <v>1390.0</v>
      </c>
      <c r="C9" s="13"/>
    </row>
    <row r="10">
      <c r="A10" s="13" t="s">
        <v>11</v>
      </c>
      <c r="B10" s="2">
        <v>1350.0</v>
      </c>
      <c r="C10" s="13"/>
    </row>
    <row r="11">
      <c r="A11" s="13" t="s">
        <v>14</v>
      </c>
      <c r="B11" s="2">
        <v>1350.0</v>
      </c>
      <c r="C11" s="13"/>
    </row>
    <row r="12">
      <c r="A12" s="13" t="s">
        <v>9</v>
      </c>
      <c r="B12" s="2">
        <v>1320.0</v>
      </c>
      <c r="C12" s="13"/>
    </row>
    <row r="13">
      <c r="A13" s="13" t="s">
        <v>2</v>
      </c>
      <c r="B13" s="2">
        <v>1310.0</v>
      </c>
      <c r="C13" s="13"/>
    </row>
    <row r="14">
      <c r="A14" s="13" t="s">
        <v>16</v>
      </c>
      <c r="B14" s="2">
        <v>1310.0</v>
      </c>
      <c r="C14" s="13"/>
    </row>
    <row r="15">
      <c r="A15" s="13" t="s">
        <v>8</v>
      </c>
      <c r="B15" s="2">
        <v>1280.0</v>
      </c>
      <c r="C15" s="13"/>
    </row>
    <row r="16">
      <c r="A16" s="13" t="s">
        <v>12</v>
      </c>
      <c r="B16" s="2">
        <v>1280.0</v>
      </c>
      <c r="C16" s="13"/>
    </row>
    <row r="17">
      <c r="A17" s="13" t="s">
        <v>3</v>
      </c>
      <c r="B17" s="2">
        <v>1250.0</v>
      </c>
      <c r="C17" s="13"/>
    </row>
    <row r="18">
      <c r="A18" s="13" t="s">
        <v>1</v>
      </c>
      <c r="B18" s="2">
        <v>1200.0</v>
      </c>
      <c r="C18" s="13"/>
    </row>
    <row r="19">
      <c r="A19" s="13" t="s">
        <v>6</v>
      </c>
      <c r="B19" s="2">
        <v>1190.0</v>
      </c>
      <c r="C19" s="13"/>
    </row>
    <row r="20">
      <c r="A20" s="13" t="s">
        <v>19</v>
      </c>
      <c r="B20" s="2">
        <v>1180.0</v>
      </c>
      <c r="C20" s="13"/>
    </row>
    <row r="21">
      <c r="A21" s="13" t="s">
        <v>7</v>
      </c>
      <c r="B21" s="2">
        <v>1150.0</v>
      </c>
      <c r="C21" s="13"/>
    </row>
    <row r="22">
      <c r="A22" s="13" t="s">
        <v>17</v>
      </c>
      <c r="B22" s="2">
        <v>1150.0</v>
      </c>
      <c r="C22" s="14"/>
    </row>
    <row r="23">
      <c r="A23" s="13" t="s">
        <v>15</v>
      </c>
      <c r="B23" s="2">
        <v>1090.0</v>
      </c>
      <c r="C23" s="13"/>
    </row>
    <row r="24">
      <c r="A24" s="14"/>
    </row>
    <row r="25">
      <c r="A25" s="15" t="s">
        <v>125</v>
      </c>
      <c r="B25" s="16">
        <f>SUM(B2:B23)</f>
        <v>29200</v>
      </c>
    </row>
    <row r="26">
      <c r="A26" s="15" t="s">
        <v>126</v>
      </c>
      <c r="B26" s="16">
        <f>ROUND(B25/22,0)</f>
        <v>1327</v>
      </c>
    </row>
    <row r="27">
      <c r="A27" s="15"/>
      <c r="B27" s="17"/>
    </row>
    <row r="28">
      <c r="A28" s="15"/>
      <c r="B28" s="16"/>
    </row>
    <row r="29">
      <c r="A29" s="13"/>
    </row>
    <row r="30">
      <c r="A30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15</v>
      </c>
      <c r="B1" s="7">
        <v>1.0</v>
      </c>
    </row>
    <row r="2">
      <c r="A2" s="7" t="s">
        <v>7</v>
      </c>
      <c r="B2" s="7">
        <v>1.0</v>
      </c>
    </row>
    <row r="3">
      <c r="A3" s="7" t="s">
        <v>20</v>
      </c>
      <c r="B3" s="7">
        <v>1.0</v>
      </c>
    </row>
  </sheetData>
  <drawing r:id="rId1"/>
</worksheet>
</file>