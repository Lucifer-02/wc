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" sheetId="1" r:id="rId5"/>
    <sheet state="visible" name="Summary" sheetId="2" r:id="rId6"/>
    <sheet state="visible" name="Ngôi sao" sheetId="3" r:id="rId7"/>
  </sheets>
  <definedNames/>
  <calcPr/>
</workbook>
</file>

<file path=xl/sharedStrings.xml><?xml version="1.0" encoding="utf-8"?>
<sst xmlns="http://schemas.openxmlformats.org/spreadsheetml/2006/main" count="213" uniqueCount="141">
  <si>
    <t>Thái Bình</t>
  </si>
  <si>
    <t>Trung Hiếu</t>
  </si>
  <si>
    <t>Duy Tùng</t>
  </si>
  <si>
    <t>Lê Hải</t>
  </si>
  <si>
    <t>Tiến Tùng</t>
  </si>
  <si>
    <t>Thanh Quang</t>
  </si>
  <si>
    <t>Tuấn Tú</t>
  </si>
  <si>
    <t>Khắc Thành</t>
  </si>
  <si>
    <t>Thanh Vân</t>
  </si>
  <si>
    <t>Thị Hoài</t>
  </si>
  <si>
    <t>Trung Ngôn</t>
  </si>
  <si>
    <t>Đức Anh</t>
  </si>
  <si>
    <t>Tiến Phát</t>
  </si>
  <si>
    <t>Tuấn Linh</t>
  </si>
  <si>
    <t>Tuấn Hải</t>
  </si>
  <si>
    <t>Việt Hoàng</t>
  </si>
  <si>
    <t>Hải Linh</t>
  </si>
  <si>
    <t>Mạnh Dũng</t>
  </si>
  <si>
    <t>Hữu Nghĩa</t>
  </si>
  <si>
    <t>Chính Đạt</t>
  </si>
  <si>
    <t>Ngọc Khuê</t>
  </si>
  <si>
    <t>Quốc Anh</t>
  </si>
  <si>
    <t>Sum</t>
  </si>
  <si>
    <r>
      <rPr>
        <rFont val="Arial"/>
        <b/>
        <color theme="1"/>
      </rPr>
      <t xml:space="preserve">Mexico </t>
    </r>
    <r>
      <rPr>
        <rFont val="Arial"/>
        <color theme="1"/>
      </rPr>
      <t>- Nam Phi</t>
    </r>
  </si>
  <si>
    <r>
      <rPr>
        <rFont val="Arial"/>
        <b/>
        <color theme="1"/>
      </rPr>
      <t>Hàn Quốc</t>
    </r>
    <r>
      <rPr>
        <rFont val="Arial"/>
        <color theme="1"/>
      </rPr>
      <t xml:space="preserve"> - Séc</t>
    </r>
  </si>
  <si>
    <r>
      <rPr>
        <rFont val="Arial"/>
        <color theme="1"/>
      </rPr>
      <t xml:space="preserve">Canada - </t>
    </r>
    <r>
      <rPr>
        <rFont val="Arial"/>
        <b/>
        <color theme="1"/>
      </rPr>
      <t>Bosina</t>
    </r>
  </si>
  <si>
    <r>
      <rPr>
        <rFont val="Arial"/>
        <b/>
        <color theme="1"/>
      </rPr>
      <t>Mỹ</t>
    </r>
    <r>
      <rPr>
        <rFont val="Arial"/>
        <color theme="1"/>
      </rPr>
      <t xml:space="preserve"> - Paraguay</t>
    </r>
  </si>
  <si>
    <r>
      <rPr>
        <rFont val="Arial"/>
        <b val="0"/>
        <color theme="1"/>
      </rPr>
      <t>Thụy Sĩ</t>
    </r>
    <r>
      <rPr>
        <rFont val="Arial"/>
        <color theme="1"/>
      </rPr>
      <t xml:space="preserve"> - </t>
    </r>
    <r>
      <rPr>
        <rFont val="Arial"/>
        <b/>
        <color theme="1"/>
      </rPr>
      <t>Qatar</t>
    </r>
  </si>
  <si>
    <r>
      <t xml:space="preserve">Brazil - </t>
    </r>
    <r>
      <rPr>
        <rFont val="Arial"/>
        <b/>
        <color theme="1"/>
      </rPr>
      <t>Ma rốc</t>
    </r>
  </si>
  <si>
    <r>
      <rPr>
        <rFont val="Arial"/>
        <b/>
        <color theme="1"/>
      </rPr>
      <t>Scotland</t>
    </r>
    <r>
      <rPr>
        <rFont val="Arial"/>
        <color theme="1"/>
      </rPr>
      <t xml:space="preserve"> - Haiti</t>
    </r>
  </si>
  <si>
    <r>
      <t xml:space="preserve">Thổ Nhĩ Kì - </t>
    </r>
    <r>
      <rPr>
        <rFont val="Arial"/>
        <b/>
        <color theme="1"/>
      </rPr>
      <t>Úc</t>
    </r>
  </si>
  <si>
    <r>
      <rPr>
        <rFont val="Arial"/>
        <b/>
        <color theme="1"/>
      </rPr>
      <t>Đức</t>
    </r>
    <r>
      <rPr>
        <rFont val="Arial"/>
        <color theme="1"/>
      </rPr>
      <t xml:space="preserve"> - Curacao</t>
    </r>
  </si>
  <si>
    <r>
      <rPr>
        <rFont val="Arial"/>
        <color theme="1"/>
      </rPr>
      <t xml:space="preserve">Hà Lan - </t>
    </r>
    <r>
      <rPr>
        <rFont val="Arial"/>
        <b/>
        <color theme="1"/>
      </rPr>
      <t>Nhật Bản</t>
    </r>
  </si>
  <si>
    <r>
      <rPr>
        <rFont val="Arial"/>
        <color theme="1"/>
      </rPr>
      <t xml:space="preserve">Ecuador - </t>
    </r>
    <r>
      <rPr>
        <rFont val="Arial"/>
        <b/>
        <color theme="1"/>
      </rPr>
      <t>Bờ Biển Ngà</t>
    </r>
  </si>
  <si>
    <r>
      <rPr>
        <rFont val="Arial"/>
        <b/>
        <color theme="1"/>
      </rPr>
      <t>Thuỵ Điển</t>
    </r>
    <r>
      <rPr>
        <rFont val="Arial"/>
        <color theme="1"/>
      </rPr>
      <t xml:space="preserve"> - Tuynidi</t>
    </r>
  </si>
  <si>
    <r>
      <rPr>
        <rFont val="Arial"/>
        <color theme="1"/>
      </rPr>
      <t xml:space="preserve">Tây Ban Nha - </t>
    </r>
    <r>
      <rPr>
        <rFont val="Arial"/>
        <b/>
        <color theme="1"/>
      </rPr>
      <t>Cape Varde</t>
    </r>
  </si>
  <si>
    <r>
      <rPr>
        <rFont val="Arial"/>
        <color theme="1"/>
      </rPr>
      <t xml:space="preserve">Bỉ - </t>
    </r>
    <r>
      <rPr>
        <rFont val="Arial"/>
        <b/>
        <color theme="1"/>
      </rPr>
      <t>Ai Cập</t>
    </r>
  </si>
  <si>
    <r>
      <rPr>
        <rFont val="Arial"/>
        <color theme="1"/>
      </rPr>
      <t xml:space="preserve">Uruguay - </t>
    </r>
    <r>
      <rPr>
        <rFont val="Arial"/>
        <b/>
        <color theme="1"/>
      </rPr>
      <t>Ả Rập Xê Út</t>
    </r>
  </si>
  <si>
    <r>
      <rPr>
        <rFont val="Arial"/>
        <color theme="1"/>
      </rPr>
      <t xml:space="preserve">Iram - </t>
    </r>
    <r>
      <rPr>
        <rFont val="Arial"/>
        <b/>
        <color theme="1"/>
      </rPr>
      <t>New Zealand</t>
    </r>
  </si>
  <si>
    <r>
      <rPr>
        <rFont val="Arial"/>
        <b/>
        <color theme="1"/>
      </rPr>
      <t>Pháp</t>
    </r>
    <r>
      <rPr>
        <rFont val="Arial"/>
        <color theme="1"/>
      </rPr>
      <t xml:space="preserve"> - Senegal</t>
    </r>
  </si>
  <si>
    <r>
      <rPr>
        <rFont val="Arial"/>
        <b/>
        <color theme="1"/>
      </rPr>
      <t xml:space="preserve">Na Uy </t>
    </r>
    <r>
      <rPr>
        <rFont val="Arial"/>
        <color theme="1"/>
      </rPr>
      <t>- Iraq</t>
    </r>
  </si>
  <si>
    <r>
      <rPr>
        <rFont val="Arial"/>
        <b/>
        <color theme="1"/>
      </rPr>
      <t>Argentina</t>
    </r>
    <r>
      <rPr>
        <rFont val="Arial"/>
        <color theme="1"/>
      </rPr>
      <t xml:space="preserve"> - Algerie</t>
    </r>
  </si>
  <si>
    <r>
      <rPr>
        <rFont val="Arial"/>
        <b/>
        <color theme="1"/>
      </rPr>
      <t>Áo</t>
    </r>
    <r>
      <rPr>
        <rFont val="Arial"/>
        <color theme="1"/>
      </rPr>
      <t xml:space="preserve"> - Jorrdan</t>
    </r>
  </si>
  <si>
    <r>
      <rPr>
        <rFont val="Arial"/>
        <color theme="1"/>
      </rPr>
      <t>Bồ Đào Nha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- </t>
    </r>
    <r>
      <rPr>
        <rFont val="Arial"/>
        <b/>
        <color theme="1"/>
      </rPr>
      <t>Congo</t>
    </r>
  </si>
  <si>
    <r>
      <rPr>
        <rFont val="Arial"/>
        <b/>
        <color theme="1"/>
      </rPr>
      <t>Anh</t>
    </r>
    <r>
      <rPr>
        <rFont val="Arial"/>
        <color theme="1"/>
      </rPr>
      <t xml:space="preserve"> - Croatia</t>
    </r>
  </si>
  <si>
    <r>
      <rPr>
        <rFont val="Arial"/>
        <b/>
        <color theme="1"/>
      </rPr>
      <t>Ghana</t>
    </r>
    <r>
      <rPr>
        <rFont val="Arial"/>
        <color theme="1"/>
      </rPr>
      <t xml:space="preserve"> - Panama</t>
    </r>
  </si>
  <si>
    <r>
      <rPr>
        <rFont val="Arial"/>
        <b/>
        <color theme="1"/>
      </rPr>
      <t>Colombia</t>
    </r>
    <r>
      <rPr>
        <rFont val="Arial"/>
        <color theme="1"/>
      </rPr>
      <t xml:space="preserve"> - Uzbekistan</t>
    </r>
  </si>
  <si>
    <r>
      <rPr>
        <rFont val="Arial"/>
        <color theme="1"/>
      </rPr>
      <t xml:space="preserve">Séc - </t>
    </r>
    <r>
      <rPr>
        <rFont val="Arial"/>
        <b/>
        <color theme="1"/>
      </rPr>
      <t>Nam Phi</t>
    </r>
  </si>
  <si>
    <r>
      <rPr>
        <rFont val="Arial"/>
        <b/>
        <color theme="1"/>
      </rPr>
      <t>Thuỵ Sĩ</t>
    </r>
    <r>
      <rPr>
        <rFont val="Arial"/>
        <color theme="1"/>
      </rPr>
      <t xml:space="preserve"> - Bosina</t>
    </r>
  </si>
  <si>
    <r>
      <rPr>
        <rFont val="Arial"/>
        <b/>
        <color theme="1"/>
      </rPr>
      <t>Canada</t>
    </r>
    <r>
      <rPr>
        <rFont val="Arial"/>
        <color theme="1"/>
      </rPr>
      <t xml:space="preserve"> - Qatar</t>
    </r>
  </si>
  <si>
    <r>
      <rPr>
        <rFont val="Arial"/>
        <b/>
        <color theme="1"/>
      </rPr>
      <t>Mexico</t>
    </r>
    <r>
      <rPr>
        <rFont val="Arial"/>
        <color theme="1"/>
      </rPr>
      <t xml:space="preserve"> - Hàn Quốc</t>
    </r>
  </si>
  <si>
    <r>
      <rPr>
        <rFont val="Arial"/>
        <b/>
        <color theme="1"/>
      </rPr>
      <t>Mỹ</t>
    </r>
    <r>
      <rPr>
        <rFont val="Arial"/>
        <color theme="1"/>
      </rPr>
      <t xml:space="preserve"> - Úc</t>
    </r>
  </si>
  <si>
    <r>
      <rPr>
        <rFont val="Arial"/>
        <b/>
        <color theme="1"/>
      </rPr>
      <t>Ma Rốc</t>
    </r>
    <r>
      <rPr>
        <rFont val="Arial"/>
        <color theme="1"/>
      </rPr>
      <t xml:space="preserve"> - Scotland</t>
    </r>
  </si>
  <si>
    <r>
      <rPr>
        <rFont val="Arial"/>
        <b/>
        <color theme="1"/>
      </rPr>
      <t>Brazil</t>
    </r>
    <r>
      <rPr>
        <rFont val="Arial"/>
        <color theme="1"/>
      </rPr>
      <t xml:space="preserve"> - Halti</t>
    </r>
  </si>
  <si>
    <r>
      <rPr>
        <rFont val="Arial"/>
        <color theme="1"/>
      </rPr>
      <t xml:space="preserve">Thổ Nhĩ Kì - </t>
    </r>
    <r>
      <rPr>
        <rFont val="Arial"/>
        <b/>
        <color theme="1"/>
      </rPr>
      <t>Paraguay</t>
    </r>
  </si>
  <si>
    <r>
      <rPr>
        <rFont val="Arial"/>
        <b/>
        <color theme="1"/>
      </rPr>
      <t>Hà Lan</t>
    </r>
    <r>
      <rPr>
        <rFont val="Arial"/>
        <color theme="1"/>
      </rPr>
      <t xml:space="preserve"> - Thuỵ Điển</t>
    </r>
  </si>
  <si>
    <t>Đức - Bờ Biển Ngà</t>
  </si>
  <si>
    <r>
      <rPr>
        <rFont val="Arial"/>
        <color theme="1"/>
      </rPr>
      <t xml:space="preserve">Ecuador - </t>
    </r>
    <r>
      <rPr>
        <rFont val="Arial"/>
        <b/>
        <color theme="1"/>
      </rPr>
      <t>Curacao</t>
    </r>
  </si>
  <si>
    <r>
      <rPr>
        <rFont val="Arial"/>
        <b/>
        <color theme="1"/>
      </rPr>
      <t>Nhật Bản</t>
    </r>
    <r>
      <rPr>
        <rFont val="Arial"/>
        <color theme="1"/>
      </rPr>
      <t xml:space="preserve"> - Tuynidi</t>
    </r>
  </si>
  <si>
    <r>
      <rPr>
        <rFont val="Arial"/>
        <b/>
        <color theme="1"/>
      </rPr>
      <t>Tây Ban Nha</t>
    </r>
    <r>
      <rPr>
        <rFont val="Arial"/>
        <color theme="1"/>
      </rPr>
      <t xml:space="preserve"> - Ả Rập Xê út</t>
    </r>
  </si>
  <si>
    <r>
      <rPr>
        <rFont val="Arial"/>
        <color theme="1"/>
      </rPr>
      <t xml:space="preserve">Bỉ - </t>
    </r>
    <r>
      <rPr>
        <rFont val="Arial"/>
        <b/>
        <color theme="1"/>
      </rPr>
      <t>Iran</t>
    </r>
  </si>
  <si>
    <r>
      <rPr>
        <rFont val="Arial"/>
        <color theme="1"/>
      </rPr>
      <t xml:space="preserve">Uruguay - </t>
    </r>
    <r>
      <rPr>
        <rFont val="Arial"/>
        <b/>
        <color theme="1"/>
      </rPr>
      <t>Cape Varde</t>
    </r>
  </si>
  <si>
    <r>
      <rPr>
        <rFont val="Arial"/>
        <b/>
        <color theme="1"/>
      </rPr>
      <t>Ai Cập</t>
    </r>
    <r>
      <rPr>
        <rFont val="Arial"/>
        <color theme="1"/>
      </rPr>
      <t xml:space="preserve"> - New Zealand</t>
    </r>
  </si>
  <si>
    <r>
      <t>Arrgentina</t>
    </r>
    <r>
      <rPr>
        <rFont val="Arial"/>
        <b val="0"/>
        <color theme="1"/>
      </rPr>
      <t xml:space="preserve"> - Áo</t>
    </r>
  </si>
  <si>
    <r>
      <rPr>
        <rFont val="Arial"/>
        <b/>
        <color theme="1"/>
      </rPr>
      <t>Pháp</t>
    </r>
    <r>
      <rPr>
        <rFont val="Arial"/>
        <color theme="1"/>
      </rPr>
      <t xml:space="preserve"> - Iraq</t>
    </r>
  </si>
  <si>
    <r>
      <rPr>
        <rFont val="Arial"/>
        <b/>
        <color theme="1"/>
      </rPr>
      <t>Na Uy</t>
    </r>
    <r>
      <rPr>
        <rFont val="Arial"/>
        <color theme="1"/>
      </rPr>
      <t xml:space="preserve"> - Senegal</t>
    </r>
  </si>
  <si>
    <r>
      <rPr>
        <rFont val="Arial"/>
        <color theme="1"/>
      </rPr>
      <t xml:space="preserve">Algerie - </t>
    </r>
    <r>
      <rPr>
        <rFont val="Arial"/>
        <b/>
        <color theme="1"/>
      </rPr>
      <t>Jordan</t>
    </r>
  </si>
  <si>
    <r>
      <rPr>
        <rFont val="Arial"/>
        <b/>
        <color theme="1"/>
      </rPr>
      <t>Bồ Đào Nha</t>
    </r>
    <r>
      <rPr>
        <rFont val="Arial"/>
        <color theme="1"/>
      </rPr>
      <t xml:space="preserve"> - Uzbekistan</t>
    </r>
  </si>
  <si>
    <r>
      <rPr>
        <rFont val="Arial"/>
        <color theme="1"/>
      </rPr>
      <t xml:space="preserve">Anh-  </t>
    </r>
    <r>
      <rPr>
        <rFont val="Arial"/>
        <b/>
        <color theme="1"/>
      </rPr>
      <t>Ghana</t>
    </r>
  </si>
  <si>
    <r>
      <rPr>
        <rFont val="Arial"/>
        <color theme="1"/>
      </rPr>
      <t xml:space="preserve">Croatia - </t>
    </r>
    <r>
      <rPr>
        <rFont val="Arial"/>
        <b/>
        <color theme="1"/>
      </rPr>
      <t>Panama</t>
    </r>
  </si>
  <si>
    <r>
      <rPr>
        <rFont val="Arial"/>
        <color theme="1"/>
      </rPr>
      <t xml:space="preserve">Colombia - </t>
    </r>
    <r>
      <rPr>
        <rFont val="Arial"/>
        <b/>
        <color theme="1"/>
      </rPr>
      <t>Congo</t>
    </r>
  </si>
  <si>
    <r>
      <rPr>
        <rFont val="Arial"/>
        <b/>
        <color theme="1"/>
      </rPr>
      <t xml:space="preserve">Thuỵ Sĩ </t>
    </r>
    <r>
      <rPr>
        <rFont val="Arial"/>
        <color theme="1"/>
      </rPr>
      <t>- Canada</t>
    </r>
  </si>
  <si>
    <r>
      <rPr>
        <rFont val="Arial"/>
        <b/>
        <color theme="1"/>
      </rPr>
      <t xml:space="preserve">Bosnia </t>
    </r>
    <r>
      <rPr>
        <rFont val="Arial"/>
        <color theme="1"/>
      </rPr>
      <t>- Quatar</t>
    </r>
  </si>
  <si>
    <t>Ma rốc - Haiti</t>
  </si>
  <si>
    <r>
      <rPr>
        <rFont val="Arial"/>
        <b/>
        <color theme="1"/>
      </rPr>
      <t xml:space="preserve">Brazil </t>
    </r>
    <r>
      <rPr>
        <rFont val="Arial"/>
        <color theme="1"/>
      </rPr>
      <t>- Scotland</t>
    </r>
  </si>
  <si>
    <r>
      <rPr>
        <rFont val="Arial"/>
        <color theme="1"/>
      </rPr>
      <t xml:space="preserve">Hàn Quốc - </t>
    </r>
    <r>
      <rPr>
        <rFont val="Arial"/>
        <b/>
        <color theme="1"/>
      </rPr>
      <t>Nam Phi</t>
    </r>
  </si>
  <si>
    <r>
      <rPr>
        <rFont val="Arial"/>
        <b/>
        <color theme="1"/>
      </rPr>
      <t>Mexico</t>
    </r>
    <r>
      <rPr>
        <rFont val="Arial"/>
        <color theme="1"/>
      </rPr>
      <t xml:space="preserve"> - Séc</t>
    </r>
  </si>
  <si>
    <r>
      <rPr>
        <rFont val="Arial"/>
        <color theme="1"/>
      </rPr>
      <t xml:space="preserve">Bờ Biển Ngà - </t>
    </r>
    <r>
      <rPr>
        <rFont val="Arial"/>
        <b/>
        <color theme="1"/>
      </rPr>
      <t>Curacao</t>
    </r>
  </si>
  <si>
    <r>
      <rPr>
        <rFont val="Arial"/>
        <color theme="1"/>
      </rPr>
      <t xml:space="preserve">Đức - </t>
    </r>
    <r>
      <rPr>
        <rFont val="Arial"/>
        <b/>
        <color theme="1"/>
      </rPr>
      <t>Ecuador</t>
    </r>
  </si>
  <si>
    <r>
      <rPr>
        <rFont val="Arial"/>
        <color theme="1"/>
      </rPr>
      <t xml:space="preserve">Hà Lan - </t>
    </r>
    <r>
      <rPr>
        <rFont val="Arial"/>
        <b/>
        <color theme="1"/>
      </rPr>
      <t>Tuynidi</t>
    </r>
  </si>
  <si>
    <r>
      <rPr>
        <rFont val="Arial"/>
        <color theme="1"/>
      </rPr>
      <t xml:space="preserve">Nhật Bản - </t>
    </r>
    <r>
      <rPr>
        <rFont val="Arial"/>
        <b/>
        <color theme="1"/>
      </rPr>
      <t>Thuỵ Điển</t>
    </r>
  </si>
  <si>
    <r>
      <rPr>
        <rFont val="Arial"/>
        <color theme="1"/>
      </rPr>
      <t xml:space="preserve">Mỹ - </t>
    </r>
    <r>
      <rPr>
        <rFont val="Arial"/>
        <b/>
        <color theme="1"/>
      </rPr>
      <t>Thổ Nhĩ Kì</t>
    </r>
  </si>
  <si>
    <r>
      <rPr>
        <rFont val="Arial"/>
        <color theme="1"/>
      </rPr>
      <t xml:space="preserve">Paraguay - </t>
    </r>
    <r>
      <rPr>
        <rFont val="Arial"/>
        <b/>
        <color theme="1"/>
      </rPr>
      <t>Úc</t>
    </r>
  </si>
  <si>
    <r>
      <rPr>
        <rFont val="Arial"/>
        <b/>
        <color theme="1"/>
      </rPr>
      <t>Senegal</t>
    </r>
    <r>
      <rPr>
        <rFont val="Arial"/>
        <color theme="1"/>
      </rPr>
      <t xml:space="preserve"> - Iraq</t>
    </r>
  </si>
  <si>
    <r>
      <rPr>
        <rFont val="Arial"/>
        <b/>
        <color theme="1"/>
      </rPr>
      <t>Pháp</t>
    </r>
    <r>
      <rPr>
        <rFont val="Arial"/>
        <color theme="1"/>
      </rPr>
      <t xml:space="preserve"> - Na Uy</t>
    </r>
  </si>
  <si>
    <t>Cape Verde - Ả Rập Xê Út</t>
  </si>
  <si>
    <t>Tây Ban Nha - Uruguay</t>
  </si>
  <si>
    <r>
      <rPr>
        <rFont val="Arial"/>
        <b/>
        <color theme="1"/>
      </rPr>
      <t>Bỉ</t>
    </r>
    <r>
      <rPr>
        <rFont val="Arial"/>
        <color theme="1"/>
      </rPr>
      <t xml:space="preserve"> - New Zealand</t>
    </r>
  </si>
  <si>
    <r>
      <rPr>
        <rFont val="Arial"/>
        <color theme="1"/>
      </rPr>
      <t xml:space="preserve">Ai Cập - </t>
    </r>
    <r>
      <rPr>
        <rFont val="Arial"/>
        <b/>
        <color theme="1"/>
      </rPr>
      <t>Iran</t>
    </r>
  </si>
  <si>
    <r>
      <rPr>
        <rFont val="Arial"/>
        <color theme="1"/>
      </rPr>
      <t xml:space="preserve">Anh - </t>
    </r>
    <r>
      <rPr>
        <rFont val="Arial"/>
        <b/>
        <color theme="1"/>
      </rPr>
      <t>Panama</t>
    </r>
  </si>
  <si>
    <r>
      <rPr>
        <rFont val="Arial"/>
        <b/>
        <color theme="1"/>
      </rPr>
      <t>Croatia</t>
    </r>
    <r>
      <rPr>
        <rFont val="Arial"/>
        <color theme="1"/>
      </rPr>
      <t xml:space="preserve"> - Ghana</t>
    </r>
  </si>
  <si>
    <r>
      <rPr>
        <rFont val="Arial"/>
        <color theme="1"/>
      </rPr>
      <t xml:space="preserve">Bồ Đào Nha - </t>
    </r>
    <r>
      <rPr>
        <rFont val="Arial"/>
        <b/>
        <color theme="1"/>
      </rPr>
      <t>Colombia</t>
    </r>
  </si>
  <si>
    <r>
      <rPr>
        <rFont val="Arial"/>
        <b/>
        <color theme="1"/>
      </rPr>
      <t>Congo</t>
    </r>
    <r>
      <rPr>
        <rFont val="Arial"/>
        <color theme="1"/>
      </rPr>
      <t xml:space="preserve"> - Uzbekistan</t>
    </r>
  </si>
  <si>
    <r>
      <rPr>
        <rFont val="Arial"/>
        <color theme="1"/>
      </rPr>
      <t xml:space="preserve">Áo - </t>
    </r>
    <r>
      <rPr>
        <rFont val="Arial"/>
        <b/>
        <color theme="1"/>
      </rPr>
      <t>Algeria</t>
    </r>
  </si>
  <si>
    <r>
      <rPr>
        <rFont val="Arial"/>
        <color theme="1"/>
      </rPr>
      <t xml:space="preserve">Argentina - </t>
    </r>
    <r>
      <rPr>
        <rFont val="Arial"/>
        <b/>
        <color theme="1"/>
      </rPr>
      <t>Jordan</t>
    </r>
  </si>
  <si>
    <r>
      <rPr>
        <rFont val="Arial"/>
        <b/>
        <color theme="1"/>
      </rPr>
      <t>Canada</t>
    </r>
    <r>
      <rPr>
        <rFont val="Arial"/>
        <color theme="1"/>
      </rPr>
      <t xml:space="preserve"> - Nam Phi</t>
    </r>
  </si>
  <si>
    <r>
      <rPr>
        <rFont val="Arial"/>
        <b/>
        <color theme="1"/>
      </rPr>
      <t>Brazil</t>
    </r>
    <r>
      <rPr>
        <rFont val="Arial"/>
        <color theme="1"/>
      </rPr>
      <t xml:space="preserve"> - Nhật Bản</t>
    </r>
  </si>
  <si>
    <r>
      <rPr>
        <rFont val="Arial"/>
        <color theme="1"/>
      </rPr>
      <t xml:space="preserve">Đức - </t>
    </r>
    <r>
      <rPr>
        <rFont val="Arial"/>
        <b/>
        <color theme="1"/>
      </rPr>
      <t>Paraguay</t>
    </r>
  </si>
  <si>
    <r>
      <rPr>
        <rFont val="Arial"/>
        <color theme="1"/>
      </rPr>
      <t xml:space="preserve">Hà Lan - </t>
    </r>
    <r>
      <rPr>
        <rFont val="Arial"/>
        <b/>
        <color theme="1"/>
      </rPr>
      <t>Ma Rốc</t>
    </r>
  </si>
  <si>
    <r>
      <rPr>
        <rFont val="Arial"/>
        <b/>
        <color theme="1"/>
      </rPr>
      <t>Na Uy</t>
    </r>
    <r>
      <rPr>
        <rFont val="Arial"/>
        <color theme="1"/>
      </rPr>
      <t xml:space="preserve"> - Bờ Biển Ngà</t>
    </r>
  </si>
  <si>
    <r>
      <rPr>
        <rFont val="Arial"/>
        <b/>
        <color theme="1"/>
      </rPr>
      <t xml:space="preserve">Pháp </t>
    </r>
    <r>
      <rPr>
        <rFont val="Arial"/>
        <color theme="1"/>
      </rPr>
      <t>- Thuỵ Điển</t>
    </r>
  </si>
  <si>
    <r>
      <rPr>
        <rFont val="Arial"/>
        <b/>
        <color theme="1"/>
      </rPr>
      <t>Mexico</t>
    </r>
    <r>
      <rPr>
        <rFont val="Arial"/>
        <color theme="1"/>
      </rPr>
      <t xml:space="preserve"> - Ecuador</t>
    </r>
  </si>
  <si>
    <r>
      <rPr>
        <rFont val="Arial"/>
        <color theme="1"/>
      </rPr>
      <t xml:space="preserve">Anh - </t>
    </r>
    <r>
      <rPr>
        <rFont val="Arial"/>
        <b/>
        <color theme="1"/>
      </rPr>
      <t>Congo</t>
    </r>
  </si>
  <si>
    <r>
      <rPr>
        <rFont val="Arial"/>
        <color theme="1"/>
      </rPr>
      <t xml:space="preserve">Bỉ  - </t>
    </r>
    <r>
      <rPr>
        <rFont val="Arial"/>
        <b/>
        <color theme="1"/>
      </rPr>
      <t>Senegal</t>
    </r>
  </si>
  <si>
    <r>
      <rPr>
        <rFont val="Arial"/>
        <b/>
        <color theme="1"/>
      </rPr>
      <t>Mỹ</t>
    </r>
    <r>
      <rPr>
        <rFont val="Arial"/>
        <color theme="1"/>
      </rPr>
      <t xml:space="preserve"> - Bosnia</t>
    </r>
  </si>
  <si>
    <r>
      <rPr>
        <rFont val="Arial"/>
        <b/>
        <color theme="1"/>
      </rPr>
      <t>Tây Ban Nha</t>
    </r>
    <r>
      <rPr>
        <rFont val="Arial"/>
        <color theme="1"/>
      </rPr>
      <t xml:space="preserve"> - Áo</t>
    </r>
  </si>
  <si>
    <r>
      <rPr>
        <rFont val="Arial"/>
        <b/>
        <color theme="1"/>
      </rPr>
      <t xml:space="preserve">Bồ Đào Nha </t>
    </r>
    <r>
      <rPr>
        <rFont val="Arial"/>
        <color theme="1"/>
      </rPr>
      <t>- Croatia</t>
    </r>
  </si>
  <si>
    <r>
      <rPr>
        <rFont val="Arial"/>
        <b/>
        <color theme="1"/>
      </rPr>
      <t xml:space="preserve">Thuỵ Sĩ </t>
    </r>
    <r>
      <rPr>
        <rFont val="Arial"/>
        <color theme="1"/>
      </rPr>
      <t>- Algeria</t>
    </r>
  </si>
  <si>
    <r>
      <t xml:space="preserve">Ai Cập - </t>
    </r>
    <r>
      <rPr>
        <rFont val="Arial"/>
        <b/>
        <color theme="1"/>
      </rPr>
      <t>Úc</t>
    </r>
  </si>
  <si>
    <r>
      <t xml:space="preserve">Argentina - </t>
    </r>
    <r>
      <rPr>
        <rFont val="Arial"/>
        <b/>
        <color theme="1"/>
      </rPr>
      <t>Cape Verde</t>
    </r>
  </si>
  <si>
    <r>
      <t xml:space="preserve">Colombia - </t>
    </r>
    <r>
      <rPr>
        <rFont val="Arial"/>
        <b/>
        <color theme="1"/>
      </rPr>
      <t>Ghana</t>
    </r>
  </si>
  <si>
    <r>
      <rPr>
        <rFont val="Arial"/>
        <b/>
        <color theme="1"/>
      </rPr>
      <t>Ma Rốc</t>
    </r>
    <r>
      <rPr>
        <rFont val="Arial"/>
        <color theme="1"/>
      </rPr>
      <t xml:space="preserve"> - Canada</t>
    </r>
  </si>
  <si>
    <r>
      <rPr>
        <rFont val="Arial"/>
        <color theme="1"/>
      </rPr>
      <t xml:space="preserve">Pháp - </t>
    </r>
    <r>
      <rPr>
        <rFont val="Arial"/>
        <b/>
        <color theme="1"/>
      </rPr>
      <t>Paraguay</t>
    </r>
  </si>
  <si>
    <r>
      <rPr>
        <rFont val="Arial"/>
        <color theme="1"/>
      </rPr>
      <t xml:space="preserve">Brazil - </t>
    </r>
    <r>
      <rPr>
        <rFont val="Arial"/>
        <b/>
        <color theme="1"/>
      </rPr>
      <t>Na Uy</t>
    </r>
  </si>
  <si>
    <r>
      <rPr>
        <rFont val="Arial"/>
        <b/>
        <color theme="1"/>
      </rPr>
      <t xml:space="preserve">Anh </t>
    </r>
    <r>
      <rPr>
        <rFont val="Arial"/>
        <color theme="1"/>
      </rPr>
      <t>- Mexico</t>
    </r>
  </si>
  <si>
    <r>
      <rPr>
        <rFont val="Arial"/>
        <b/>
        <color theme="1"/>
      </rPr>
      <t>Tây Ban Nha</t>
    </r>
    <r>
      <rPr>
        <rFont val="Arial"/>
        <color theme="1"/>
      </rPr>
      <t xml:space="preserve"> - Bồ Đào Nha</t>
    </r>
  </si>
  <si>
    <r>
      <rPr>
        <rFont val="Arial"/>
        <b/>
        <color theme="1"/>
      </rPr>
      <t>Bỉ</t>
    </r>
    <r>
      <rPr>
        <rFont val="Arial"/>
        <color theme="1"/>
      </rPr>
      <t xml:space="preserve"> - Mỹ</t>
    </r>
  </si>
  <si>
    <r>
      <rPr>
        <rFont val="Arial"/>
        <color theme="1"/>
      </rPr>
      <t xml:space="preserve">Argentina - </t>
    </r>
    <r>
      <rPr>
        <rFont val="Arial"/>
        <b/>
        <color theme="1"/>
      </rPr>
      <t>Ai Cập</t>
    </r>
  </si>
  <si>
    <r>
      <t xml:space="preserve">Colombia - </t>
    </r>
    <r>
      <rPr>
        <rFont val="Arial"/>
        <b/>
        <color theme="1"/>
      </rPr>
      <t>Thuỵ Sĩ</t>
    </r>
  </si>
  <si>
    <r>
      <rPr>
        <rFont val="Arial"/>
        <b/>
        <color theme="1"/>
      </rPr>
      <t>Pháp</t>
    </r>
    <r>
      <rPr>
        <rFont val="Arial"/>
        <color theme="1"/>
      </rPr>
      <t xml:space="preserve"> - Ma Rốc</t>
    </r>
  </si>
  <si>
    <r>
      <rPr>
        <rFont val="Arial"/>
        <b/>
        <color theme="1"/>
      </rPr>
      <t xml:space="preserve">Tây Ban Nha </t>
    </r>
    <r>
      <rPr>
        <rFont val="Arial"/>
        <color theme="1"/>
      </rPr>
      <t>- Bỉ</t>
    </r>
  </si>
  <si>
    <r>
      <rPr>
        <rFont val="Arial"/>
        <color theme="1"/>
      </rPr>
      <t xml:space="preserve">Anh - </t>
    </r>
    <r>
      <rPr>
        <rFont val="Arial"/>
        <b/>
        <color theme="1"/>
      </rPr>
      <t>Na Uy</t>
    </r>
  </si>
  <si>
    <r>
      <rPr>
        <rFont val="Arial"/>
        <color theme="1"/>
      </rPr>
      <t xml:space="preserve">Argentina - </t>
    </r>
    <r>
      <rPr>
        <rFont val="Arial"/>
        <b/>
        <color theme="1"/>
      </rPr>
      <t>Thuỵ Sĩ</t>
    </r>
  </si>
  <si>
    <r>
      <rPr>
        <rFont val="Arial"/>
        <color theme="1"/>
      </rPr>
      <t xml:space="preserve">Pháp - </t>
    </r>
    <r>
      <rPr>
        <rFont val="Arial"/>
        <b/>
        <color theme="1"/>
      </rPr>
      <t>Tây Ban Nha</t>
    </r>
  </si>
  <si>
    <r>
      <rPr>
        <rFont val="Arial"/>
        <b/>
        <color theme="1"/>
      </rPr>
      <t>Arrgentina</t>
    </r>
    <r>
      <rPr>
        <rFont val="Arial"/>
        <color theme="1"/>
      </rPr>
      <t xml:space="preserve"> - Anh</t>
    </r>
  </si>
  <si>
    <r>
      <rPr>
        <rFont val="Arial"/>
        <color theme="1"/>
      </rPr>
      <t xml:space="preserve">Pháp - </t>
    </r>
    <r>
      <rPr>
        <rFont val="Arial"/>
        <b/>
        <color theme="1"/>
      </rPr>
      <t>Anh</t>
    </r>
  </si>
  <si>
    <r>
      <rPr>
        <rFont val="Arial"/>
        <color theme="1"/>
      </rPr>
      <t xml:space="preserve">Tây Ban Nha - </t>
    </r>
    <r>
      <rPr>
        <rFont val="Arial"/>
        <b/>
        <color theme="1"/>
      </rPr>
      <t>Argentina</t>
    </r>
  </si>
  <si>
    <t>Vua đóng góp</t>
  </si>
  <si>
    <t>Góp gạo</t>
  </si>
  <si>
    <t xml:space="preserve"> </t>
  </si>
  <si>
    <t>SUM</t>
  </si>
  <si>
    <t>AVG/người</t>
  </si>
  <si>
    <t>Ma Rốc</t>
  </si>
  <si>
    <t>Bồ Đào Nha</t>
  </si>
  <si>
    <t>Anh</t>
  </si>
  <si>
    <t>Na Uy</t>
  </si>
  <si>
    <t>Thuỵ Sĩ</t>
  </si>
  <si>
    <t>Argentina</t>
  </si>
  <si>
    <t>Thanh Quanh</t>
  </si>
  <si>
    <t>Tây Ban Nha</t>
  </si>
  <si>
    <t>Pháp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</si>
</sst>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sz val="15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4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5" numFmtId="0" xfId="0" applyAlignment="1" applyFill="1" applyFont="1">
      <alignment readingOrder="0"/>
    </xf>
    <xf borderId="0" fillId="7" fontId="5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8" fontId="1" numFmtId="0" xfId="0" applyAlignment="1" applyFill="1" applyFont="1">
      <alignment readingOrder="0"/>
    </xf>
    <xf borderId="0" fillId="2" fontId="1" numFmtId="0" xfId="0" applyFont="1"/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3.63"/>
  </cols>
  <sheetData>
    <row r="1">
      <c r="B1" s="1">
        <f t="shared" ref="B1:W1" si="1">sum(B3:B113)</f>
        <v>1670</v>
      </c>
      <c r="C1" s="1">
        <f t="shared" si="1"/>
        <v>1400</v>
      </c>
      <c r="D1" s="1">
        <f t="shared" si="1"/>
        <v>1510</v>
      </c>
      <c r="E1" s="1">
        <f t="shared" si="1"/>
        <v>1500</v>
      </c>
      <c r="F1" s="1">
        <f t="shared" si="1"/>
        <v>0</v>
      </c>
      <c r="G1" s="1">
        <f t="shared" si="1"/>
        <v>1640</v>
      </c>
      <c r="H1" s="1">
        <f t="shared" si="1"/>
        <v>1290</v>
      </c>
      <c r="I1" s="1">
        <f t="shared" si="1"/>
        <v>1500</v>
      </c>
      <c r="J1" s="1">
        <f t="shared" si="1"/>
        <v>1680</v>
      </c>
      <c r="K1" s="1">
        <f t="shared" si="1"/>
        <v>1620</v>
      </c>
      <c r="L1" s="1">
        <f t="shared" si="1"/>
        <v>1770</v>
      </c>
      <c r="M1" s="1">
        <f t="shared" si="1"/>
        <v>1500</v>
      </c>
      <c r="N1" s="1">
        <f t="shared" si="1"/>
        <v>1680</v>
      </c>
      <c r="O1" s="1">
        <f t="shared" si="1"/>
        <v>1660</v>
      </c>
      <c r="P1" s="1">
        <f t="shared" si="1"/>
        <v>1600</v>
      </c>
      <c r="Q1" s="1">
        <f t="shared" si="1"/>
        <v>1340</v>
      </c>
      <c r="R1" s="1">
        <f t="shared" si="1"/>
        <v>1760</v>
      </c>
      <c r="S1" s="1">
        <f t="shared" si="1"/>
        <v>1600</v>
      </c>
      <c r="T1" s="1">
        <f t="shared" si="1"/>
        <v>1540</v>
      </c>
      <c r="U1" s="1">
        <f t="shared" si="1"/>
        <v>2260</v>
      </c>
      <c r="V1" s="1">
        <f t="shared" si="1"/>
        <v>1760</v>
      </c>
      <c r="W1" s="1">
        <f t="shared" si="1"/>
        <v>1750</v>
      </c>
      <c r="X1" s="2">
        <f>COUNTIF(X3:X130,"&gt;0")</f>
        <v>103</v>
      </c>
    </row>
    <row r="2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  <c r="X2" s="5" t="s">
        <v>22</v>
      </c>
      <c r="Y2" s="3"/>
      <c r="Z2" s="3"/>
      <c r="AA2" s="3"/>
      <c r="AB2" s="3"/>
      <c r="AC2" s="3"/>
      <c r="AD2" s="3"/>
    </row>
    <row r="3">
      <c r="A3" s="6" t="s">
        <v>23</v>
      </c>
      <c r="B3" s="7">
        <v>20.0</v>
      </c>
      <c r="C3" s="7">
        <v>20.0</v>
      </c>
      <c r="G3" s="7">
        <v>20.0</v>
      </c>
      <c r="H3" s="7">
        <v>20.0</v>
      </c>
      <c r="I3" s="7">
        <v>20.0</v>
      </c>
      <c r="L3" s="7">
        <v>20.0</v>
      </c>
      <c r="P3" s="7">
        <v>20.0</v>
      </c>
      <c r="R3" s="7">
        <v>20.0</v>
      </c>
      <c r="S3" s="7">
        <v>20.0</v>
      </c>
      <c r="U3" s="7">
        <v>20.0</v>
      </c>
      <c r="W3" s="7">
        <v>20.0</v>
      </c>
      <c r="X3" s="2">
        <f t="shared" ref="X3:X106" si="2">sum(B3:W3)</f>
        <v>220</v>
      </c>
    </row>
    <row r="4">
      <c r="A4" s="6" t="s">
        <v>24</v>
      </c>
      <c r="B4" s="7">
        <v>20.0</v>
      </c>
      <c r="E4" s="7">
        <v>20.0</v>
      </c>
      <c r="F4" s="7">
        <v>20.0</v>
      </c>
      <c r="G4" s="7">
        <v>20.0</v>
      </c>
      <c r="I4" s="7">
        <v>20.0</v>
      </c>
      <c r="M4" s="7">
        <v>20.0</v>
      </c>
      <c r="U4" s="7">
        <v>20.0</v>
      </c>
      <c r="X4" s="2">
        <f t="shared" si="2"/>
        <v>140</v>
      </c>
    </row>
    <row r="5">
      <c r="A5" s="6" t="s">
        <v>25</v>
      </c>
      <c r="C5" s="7">
        <v>20.0</v>
      </c>
      <c r="D5" s="7">
        <v>20.0</v>
      </c>
      <c r="E5" s="7">
        <v>20.0</v>
      </c>
      <c r="F5" s="7">
        <v>20.0</v>
      </c>
      <c r="H5" s="7">
        <v>20.0</v>
      </c>
      <c r="I5" s="7">
        <v>20.0</v>
      </c>
      <c r="K5" s="7">
        <v>20.0</v>
      </c>
      <c r="L5" s="7">
        <v>20.0</v>
      </c>
      <c r="N5" s="7">
        <v>20.0</v>
      </c>
      <c r="O5" s="7">
        <v>20.0</v>
      </c>
      <c r="Q5" s="7">
        <v>20.0</v>
      </c>
      <c r="R5" s="7">
        <v>20.0</v>
      </c>
      <c r="V5" s="7">
        <v>20.0</v>
      </c>
      <c r="X5" s="2">
        <f t="shared" si="2"/>
        <v>260</v>
      </c>
    </row>
    <row r="6">
      <c r="A6" s="6" t="s">
        <v>26</v>
      </c>
      <c r="B6" s="7">
        <v>20.0</v>
      </c>
      <c r="D6" s="7">
        <v>20.0</v>
      </c>
      <c r="E6" s="7">
        <v>20.0</v>
      </c>
      <c r="F6" s="7">
        <v>20.0</v>
      </c>
      <c r="H6" s="7">
        <v>20.0</v>
      </c>
      <c r="L6" s="7">
        <v>20.0</v>
      </c>
      <c r="M6" s="7">
        <v>20.0</v>
      </c>
      <c r="O6" s="7"/>
      <c r="S6" s="7">
        <v>20.0</v>
      </c>
      <c r="T6" s="7">
        <v>20.0</v>
      </c>
      <c r="U6" s="7">
        <v>20.0</v>
      </c>
      <c r="V6" s="7">
        <v>20.0</v>
      </c>
      <c r="X6" s="2">
        <f t="shared" si="2"/>
        <v>220</v>
      </c>
    </row>
    <row r="7">
      <c r="A7" s="6" t="s">
        <v>27</v>
      </c>
      <c r="C7" s="7">
        <v>20.0</v>
      </c>
      <c r="D7" s="7">
        <v>20.0</v>
      </c>
      <c r="F7" s="7">
        <v>20.0</v>
      </c>
      <c r="G7" s="7">
        <v>20.0</v>
      </c>
      <c r="H7" s="7">
        <v>20.0</v>
      </c>
      <c r="I7" s="7">
        <v>20.0</v>
      </c>
      <c r="N7" s="7">
        <v>20.0</v>
      </c>
      <c r="O7" s="7">
        <v>20.0</v>
      </c>
      <c r="P7" s="7">
        <v>20.0</v>
      </c>
      <c r="Q7" s="7">
        <v>20.0</v>
      </c>
      <c r="R7" s="7">
        <v>20.0</v>
      </c>
      <c r="S7" s="7">
        <v>20.0</v>
      </c>
      <c r="V7" s="7">
        <v>20.0</v>
      </c>
      <c r="W7" s="7">
        <v>20.0</v>
      </c>
      <c r="X7" s="2">
        <f t="shared" si="2"/>
        <v>280</v>
      </c>
    </row>
    <row r="8">
      <c r="A8" s="6" t="s">
        <v>28</v>
      </c>
      <c r="C8" s="7">
        <v>20.0</v>
      </c>
      <c r="D8" s="7">
        <v>20.0</v>
      </c>
      <c r="E8" s="7">
        <v>20.0</v>
      </c>
      <c r="F8" s="7">
        <v>20.0</v>
      </c>
      <c r="G8" s="7">
        <v>20.0</v>
      </c>
      <c r="H8" s="7">
        <v>20.0</v>
      </c>
      <c r="I8" s="7">
        <v>20.0</v>
      </c>
      <c r="J8" s="7">
        <v>20.0</v>
      </c>
      <c r="K8" s="7">
        <v>20.0</v>
      </c>
      <c r="L8" s="7">
        <v>20.0</v>
      </c>
      <c r="M8" s="7">
        <v>20.0</v>
      </c>
      <c r="N8" s="7">
        <v>20.0</v>
      </c>
      <c r="O8" s="7">
        <v>20.0</v>
      </c>
      <c r="P8" s="7">
        <v>20.0</v>
      </c>
      <c r="Q8" s="7">
        <v>20.0</v>
      </c>
      <c r="R8" s="7">
        <v>20.0</v>
      </c>
      <c r="S8" s="7">
        <v>20.0</v>
      </c>
      <c r="T8" s="7">
        <v>20.0</v>
      </c>
      <c r="U8" s="7">
        <v>20.0</v>
      </c>
      <c r="V8" s="7">
        <v>20.0</v>
      </c>
      <c r="W8" s="7">
        <v>20.0</v>
      </c>
      <c r="X8" s="2">
        <f t="shared" si="2"/>
        <v>420</v>
      </c>
    </row>
    <row r="9">
      <c r="A9" s="6" t="s">
        <v>29</v>
      </c>
      <c r="B9" s="7">
        <v>20.0</v>
      </c>
      <c r="M9" s="7">
        <v>20.0</v>
      </c>
      <c r="X9" s="2">
        <f t="shared" si="2"/>
        <v>40</v>
      </c>
    </row>
    <row r="10">
      <c r="A10" s="6" t="s">
        <v>30</v>
      </c>
      <c r="B10" s="7"/>
      <c r="C10" s="7">
        <v>20.0</v>
      </c>
      <c r="D10" s="7"/>
      <c r="E10" s="7"/>
      <c r="F10" s="7">
        <v>20.0</v>
      </c>
      <c r="G10" s="7">
        <v>20.0</v>
      </c>
      <c r="H10" s="7">
        <v>20.0</v>
      </c>
      <c r="I10" s="7">
        <v>20.0</v>
      </c>
      <c r="J10" s="7"/>
      <c r="K10" s="7">
        <v>20.0</v>
      </c>
      <c r="L10" s="7"/>
      <c r="M10" s="7"/>
      <c r="N10" s="7">
        <v>20.0</v>
      </c>
      <c r="O10" s="7">
        <v>20.0</v>
      </c>
      <c r="P10" s="7">
        <v>20.0</v>
      </c>
      <c r="Q10" s="7"/>
      <c r="R10" s="7">
        <v>20.0</v>
      </c>
      <c r="S10" s="7"/>
      <c r="T10" s="7">
        <v>20.0</v>
      </c>
      <c r="U10" s="7">
        <v>20.0</v>
      </c>
      <c r="V10" s="7"/>
      <c r="W10" s="7">
        <v>20.0</v>
      </c>
      <c r="X10" s="2">
        <f t="shared" si="2"/>
        <v>260</v>
      </c>
    </row>
    <row r="11">
      <c r="A11" s="6" t="s">
        <v>31</v>
      </c>
      <c r="B11" s="7">
        <v>20.0</v>
      </c>
      <c r="C11" s="7">
        <v>20.0</v>
      </c>
      <c r="D11" s="7">
        <v>20.0</v>
      </c>
      <c r="E11" s="7">
        <v>20.0</v>
      </c>
      <c r="F11" s="7">
        <v>20.0</v>
      </c>
      <c r="I11" s="7">
        <v>20.0</v>
      </c>
      <c r="J11" s="7">
        <v>20.0</v>
      </c>
      <c r="K11" s="7">
        <v>20.0</v>
      </c>
      <c r="L11" s="7">
        <v>20.0</v>
      </c>
      <c r="P11" s="7">
        <v>20.0</v>
      </c>
      <c r="R11" s="7">
        <v>20.0</v>
      </c>
      <c r="S11" s="7">
        <v>20.0</v>
      </c>
      <c r="U11" s="7">
        <v>20.0</v>
      </c>
      <c r="V11" s="7">
        <v>20.0</v>
      </c>
      <c r="W11" s="7">
        <v>20.0</v>
      </c>
      <c r="X11" s="2">
        <f t="shared" si="2"/>
        <v>300</v>
      </c>
    </row>
    <row r="12">
      <c r="A12" s="6" t="s">
        <v>32</v>
      </c>
      <c r="E12" s="7">
        <v>20.0</v>
      </c>
      <c r="F12" s="7">
        <v>20.0</v>
      </c>
      <c r="G12" s="7">
        <v>20.0</v>
      </c>
      <c r="L12" s="7">
        <v>20.0</v>
      </c>
      <c r="N12" s="7">
        <v>20.0</v>
      </c>
      <c r="O12" s="7">
        <v>20.0</v>
      </c>
      <c r="X12" s="2">
        <f t="shared" si="2"/>
        <v>120</v>
      </c>
    </row>
    <row r="13">
      <c r="A13" s="6" t="s">
        <v>33</v>
      </c>
      <c r="E13" s="7">
        <v>20.0</v>
      </c>
      <c r="F13" s="7">
        <v>20.0</v>
      </c>
      <c r="M13" s="7">
        <v>20.0</v>
      </c>
      <c r="N13" s="7">
        <v>20.0</v>
      </c>
      <c r="O13" s="7">
        <v>20.0</v>
      </c>
      <c r="U13" s="7">
        <v>20.0</v>
      </c>
      <c r="W13" s="7">
        <v>20.0</v>
      </c>
      <c r="X13" s="2">
        <f t="shared" si="2"/>
        <v>140</v>
      </c>
    </row>
    <row r="14">
      <c r="A14" s="6" t="s">
        <v>34</v>
      </c>
      <c r="B14" s="7">
        <v>20.0</v>
      </c>
      <c r="Q14" s="7">
        <v>20.0</v>
      </c>
      <c r="X14" s="2">
        <f t="shared" si="2"/>
        <v>40</v>
      </c>
    </row>
    <row r="15">
      <c r="A15" s="6" t="s">
        <v>35</v>
      </c>
      <c r="C15" s="7">
        <v>20.0</v>
      </c>
      <c r="D15" s="7">
        <v>20.0</v>
      </c>
      <c r="F15" s="7">
        <v>20.0</v>
      </c>
      <c r="G15" s="7">
        <v>20.0</v>
      </c>
      <c r="H15" s="7">
        <v>20.0</v>
      </c>
      <c r="J15" s="7">
        <v>20.0</v>
      </c>
      <c r="K15" s="7">
        <v>20.0</v>
      </c>
      <c r="L15" s="7">
        <v>20.0</v>
      </c>
      <c r="M15" s="7">
        <v>20.0</v>
      </c>
      <c r="N15" s="7">
        <v>20.0</v>
      </c>
      <c r="O15" s="7">
        <v>20.0</v>
      </c>
      <c r="P15" s="7">
        <v>20.0</v>
      </c>
      <c r="Q15" s="7">
        <v>20.0</v>
      </c>
      <c r="R15" s="7">
        <v>20.0</v>
      </c>
      <c r="S15" s="7">
        <v>20.0</v>
      </c>
      <c r="T15" s="7">
        <v>20.0</v>
      </c>
      <c r="U15" s="7">
        <v>20.0</v>
      </c>
      <c r="V15" s="7">
        <v>20.0</v>
      </c>
      <c r="W15" s="7">
        <v>20.0</v>
      </c>
      <c r="X15" s="2">
        <f t="shared" si="2"/>
        <v>380</v>
      </c>
    </row>
    <row r="16">
      <c r="A16" s="6" t="s">
        <v>36</v>
      </c>
      <c r="C16" s="7">
        <v>20.0</v>
      </c>
      <c r="D16" s="7">
        <v>20.0</v>
      </c>
      <c r="E16" s="7">
        <v>20.0</v>
      </c>
      <c r="F16" s="7">
        <v>20.0</v>
      </c>
      <c r="G16" s="7">
        <v>20.0</v>
      </c>
      <c r="H16" s="7">
        <v>20.0</v>
      </c>
      <c r="I16" s="7">
        <v>20.0</v>
      </c>
      <c r="L16" s="7">
        <v>20.0</v>
      </c>
      <c r="N16" s="7">
        <v>20.0</v>
      </c>
      <c r="O16" s="7">
        <v>20.0</v>
      </c>
      <c r="P16" s="7">
        <v>20.0</v>
      </c>
      <c r="Q16" s="7">
        <v>20.0</v>
      </c>
      <c r="R16" s="7">
        <v>20.0</v>
      </c>
      <c r="S16" s="7">
        <v>20.0</v>
      </c>
      <c r="T16" s="7">
        <v>20.0</v>
      </c>
      <c r="U16" s="7">
        <v>20.0</v>
      </c>
      <c r="X16" s="2">
        <f t="shared" si="2"/>
        <v>320</v>
      </c>
    </row>
    <row r="17">
      <c r="A17" s="6" t="s">
        <v>37</v>
      </c>
      <c r="F17" s="7">
        <v>20.0</v>
      </c>
      <c r="G17" s="7">
        <v>20.0</v>
      </c>
      <c r="H17" s="7">
        <v>20.0</v>
      </c>
      <c r="K17" s="7">
        <v>20.0</v>
      </c>
      <c r="M17" s="7">
        <v>20.0</v>
      </c>
      <c r="N17" s="7">
        <v>20.0</v>
      </c>
      <c r="O17" s="7">
        <v>20.0</v>
      </c>
      <c r="X17" s="2">
        <f t="shared" si="2"/>
        <v>140</v>
      </c>
    </row>
    <row r="18">
      <c r="A18" s="6" t="s">
        <v>38</v>
      </c>
      <c r="C18" s="7">
        <v>20.0</v>
      </c>
      <c r="E18" s="7">
        <v>20.0</v>
      </c>
      <c r="G18" s="7">
        <v>20.0</v>
      </c>
      <c r="H18" s="7">
        <v>20.0</v>
      </c>
      <c r="J18" s="7">
        <v>20.0</v>
      </c>
      <c r="K18" s="7">
        <v>20.0</v>
      </c>
      <c r="L18" s="7">
        <v>20.0</v>
      </c>
      <c r="M18" s="7">
        <v>20.0</v>
      </c>
      <c r="N18" s="7">
        <v>20.0</v>
      </c>
      <c r="O18" s="7">
        <v>20.0</v>
      </c>
      <c r="P18" s="7">
        <v>20.0</v>
      </c>
      <c r="Q18" s="7">
        <v>20.0</v>
      </c>
      <c r="R18" s="7">
        <v>20.0</v>
      </c>
      <c r="S18" s="7">
        <v>20.0</v>
      </c>
      <c r="T18" s="7">
        <v>20.0</v>
      </c>
      <c r="U18" s="7">
        <v>20.0</v>
      </c>
      <c r="V18" s="7">
        <v>20.0</v>
      </c>
      <c r="W18" s="7">
        <v>20.0</v>
      </c>
      <c r="X18" s="2">
        <f t="shared" si="2"/>
        <v>360</v>
      </c>
    </row>
    <row r="19">
      <c r="A19" s="6" t="s">
        <v>39</v>
      </c>
      <c r="B19" s="7">
        <v>20.0</v>
      </c>
      <c r="V19" s="7">
        <v>20.0</v>
      </c>
      <c r="X19" s="2">
        <f t="shared" si="2"/>
        <v>40</v>
      </c>
    </row>
    <row r="20">
      <c r="A20" s="6" t="s">
        <v>40</v>
      </c>
      <c r="B20" s="7">
        <v>20.0</v>
      </c>
      <c r="D20" s="7">
        <v>20.0</v>
      </c>
      <c r="L20" s="7">
        <v>20.0</v>
      </c>
      <c r="M20" s="7">
        <v>20.0</v>
      </c>
      <c r="T20" s="7">
        <v>20.0</v>
      </c>
      <c r="V20" s="7">
        <v>20.0</v>
      </c>
      <c r="X20" s="2">
        <f t="shared" si="2"/>
        <v>120</v>
      </c>
    </row>
    <row r="21">
      <c r="A21" s="6" t="s">
        <v>41</v>
      </c>
      <c r="B21" s="7">
        <v>20.0</v>
      </c>
      <c r="C21" s="7">
        <v>20.0</v>
      </c>
      <c r="E21" s="7">
        <v>20.0</v>
      </c>
      <c r="G21" s="7">
        <v>20.0</v>
      </c>
      <c r="I21" s="7">
        <v>20.0</v>
      </c>
      <c r="L21" s="7">
        <v>20.0</v>
      </c>
      <c r="Q21" s="7">
        <v>20.0</v>
      </c>
      <c r="T21" s="7">
        <v>20.0</v>
      </c>
      <c r="V21" s="7">
        <v>20.0</v>
      </c>
      <c r="X21" s="2">
        <f t="shared" si="2"/>
        <v>180</v>
      </c>
    </row>
    <row r="22">
      <c r="A22" s="6" t="s">
        <v>42</v>
      </c>
      <c r="B22" s="7">
        <v>20.0</v>
      </c>
      <c r="C22" s="7">
        <v>20.0</v>
      </c>
      <c r="D22" s="7">
        <v>20.0</v>
      </c>
      <c r="I22" s="7">
        <v>20.0</v>
      </c>
      <c r="J22" s="7">
        <v>20.0</v>
      </c>
      <c r="K22" s="7">
        <v>20.0</v>
      </c>
      <c r="L22" s="7">
        <v>20.0</v>
      </c>
      <c r="P22" s="7">
        <v>20.0</v>
      </c>
      <c r="Q22" s="7">
        <v>20.0</v>
      </c>
      <c r="R22" s="7">
        <v>20.0</v>
      </c>
      <c r="T22" s="7">
        <v>20.0</v>
      </c>
      <c r="U22" s="7">
        <v>20.0</v>
      </c>
      <c r="V22" s="7">
        <v>20.0</v>
      </c>
      <c r="W22" s="7">
        <v>20.0</v>
      </c>
      <c r="X22" s="2">
        <f t="shared" si="2"/>
        <v>280</v>
      </c>
    </row>
    <row r="23">
      <c r="A23" s="6" t="s">
        <v>43</v>
      </c>
      <c r="C23" s="7">
        <v>20.0</v>
      </c>
      <c r="D23" s="7">
        <v>20.0</v>
      </c>
      <c r="E23" s="7">
        <v>20.0</v>
      </c>
      <c r="F23" s="7">
        <v>20.0</v>
      </c>
      <c r="G23" s="7">
        <v>20.0</v>
      </c>
      <c r="I23" s="7">
        <v>20.0</v>
      </c>
      <c r="J23" s="7">
        <v>20.0</v>
      </c>
      <c r="K23" s="7">
        <v>20.0</v>
      </c>
      <c r="L23" s="7">
        <v>20.0</v>
      </c>
      <c r="M23" s="7">
        <v>20.0</v>
      </c>
      <c r="N23" s="7">
        <v>20.0</v>
      </c>
      <c r="O23" s="7">
        <v>20.0</v>
      </c>
      <c r="P23" s="7">
        <v>20.0</v>
      </c>
      <c r="Q23" s="7">
        <v>20.0</v>
      </c>
      <c r="R23" s="7">
        <v>20.0</v>
      </c>
      <c r="S23" s="7">
        <v>20.0</v>
      </c>
      <c r="T23" s="7">
        <v>20.0</v>
      </c>
      <c r="U23" s="7">
        <v>20.0</v>
      </c>
      <c r="V23" s="7">
        <v>20.0</v>
      </c>
      <c r="W23" s="7">
        <v>20.0</v>
      </c>
      <c r="X23" s="2">
        <f t="shared" si="2"/>
        <v>400</v>
      </c>
    </row>
    <row r="24">
      <c r="A24" s="6" t="s">
        <v>44</v>
      </c>
      <c r="B24" s="7">
        <v>20.0</v>
      </c>
      <c r="D24" s="7">
        <v>20.0</v>
      </c>
      <c r="J24" s="7">
        <v>20.0</v>
      </c>
      <c r="K24" s="7">
        <v>20.0</v>
      </c>
      <c r="L24" s="7">
        <v>20.0</v>
      </c>
      <c r="M24" s="7">
        <v>20.0</v>
      </c>
      <c r="P24" s="7">
        <v>20.0</v>
      </c>
      <c r="T24" s="7">
        <v>20.0</v>
      </c>
      <c r="U24" s="7">
        <v>20.0</v>
      </c>
      <c r="V24" s="7">
        <v>20.0</v>
      </c>
      <c r="W24" s="7">
        <v>20.0</v>
      </c>
      <c r="X24" s="2">
        <f t="shared" si="2"/>
        <v>220</v>
      </c>
    </row>
    <row r="25">
      <c r="A25" s="6" t="s">
        <v>45</v>
      </c>
      <c r="B25" s="7">
        <v>20.0</v>
      </c>
      <c r="C25" s="7">
        <v>20.0</v>
      </c>
      <c r="E25" s="7">
        <v>20.0</v>
      </c>
      <c r="F25" s="7">
        <v>20.0</v>
      </c>
      <c r="H25" s="7">
        <v>20.0</v>
      </c>
      <c r="I25" s="7">
        <v>20.0</v>
      </c>
      <c r="J25" s="7">
        <v>20.0</v>
      </c>
      <c r="K25" s="7">
        <v>20.0</v>
      </c>
      <c r="N25" s="7">
        <v>20.0</v>
      </c>
      <c r="P25" s="7">
        <v>20.0</v>
      </c>
      <c r="Q25" s="7">
        <v>20.0</v>
      </c>
      <c r="S25" s="7">
        <v>20.0</v>
      </c>
      <c r="U25" s="7">
        <v>20.0</v>
      </c>
      <c r="V25" s="7">
        <v>20.0</v>
      </c>
      <c r="X25" s="2">
        <f t="shared" si="2"/>
        <v>280</v>
      </c>
    </row>
    <row r="26">
      <c r="A26" s="6" t="s">
        <v>46</v>
      </c>
      <c r="B26" s="7">
        <v>20.0</v>
      </c>
      <c r="D26" s="7">
        <v>20.0</v>
      </c>
      <c r="G26" s="7">
        <v>20.0</v>
      </c>
      <c r="H26" s="7">
        <v>20.0</v>
      </c>
      <c r="I26" s="7">
        <v>20.0</v>
      </c>
      <c r="J26" s="7">
        <v>20.0</v>
      </c>
      <c r="P26" s="7">
        <v>20.0</v>
      </c>
      <c r="R26" s="7">
        <v>20.0</v>
      </c>
      <c r="S26" s="7">
        <v>20.0</v>
      </c>
      <c r="T26" s="7">
        <v>20.0</v>
      </c>
      <c r="U26" s="7">
        <v>20.0</v>
      </c>
      <c r="V26" s="7">
        <v>20.0</v>
      </c>
      <c r="X26" s="2">
        <f t="shared" si="2"/>
        <v>240</v>
      </c>
    </row>
    <row r="27">
      <c r="A27" s="6" t="s">
        <v>47</v>
      </c>
      <c r="C27" s="7">
        <v>20.0</v>
      </c>
      <c r="D27" s="7">
        <v>20.0</v>
      </c>
      <c r="E27" s="7">
        <v>20.0</v>
      </c>
      <c r="F27" s="7">
        <v>20.0</v>
      </c>
      <c r="G27" s="7">
        <v>20.0</v>
      </c>
      <c r="H27" s="7">
        <v>20.0</v>
      </c>
      <c r="I27" s="7">
        <v>20.0</v>
      </c>
      <c r="L27" s="7">
        <v>20.0</v>
      </c>
      <c r="N27" s="7">
        <v>20.0</v>
      </c>
      <c r="O27" s="7">
        <v>20.0</v>
      </c>
      <c r="P27" s="7">
        <v>20.0</v>
      </c>
      <c r="Q27" s="7">
        <v>20.0</v>
      </c>
      <c r="R27" s="7">
        <v>20.0</v>
      </c>
      <c r="T27" s="7">
        <v>20.0</v>
      </c>
      <c r="U27" s="7">
        <v>20.0</v>
      </c>
      <c r="V27" s="7">
        <v>20.0</v>
      </c>
      <c r="W27" s="7">
        <v>20.0</v>
      </c>
      <c r="X27" s="2">
        <f t="shared" si="2"/>
        <v>340</v>
      </c>
    </row>
    <row r="28">
      <c r="A28" s="6" t="s">
        <v>48</v>
      </c>
      <c r="B28" s="7">
        <v>20.0</v>
      </c>
      <c r="G28" s="7">
        <v>20.0</v>
      </c>
      <c r="H28" s="7">
        <v>20.0</v>
      </c>
      <c r="L28" s="7">
        <v>20.0</v>
      </c>
      <c r="M28" s="7">
        <v>20.0</v>
      </c>
      <c r="T28" s="7">
        <v>20.0</v>
      </c>
      <c r="U28" s="7">
        <v>20.0</v>
      </c>
      <c r="V28" s="7">
        <v>20.0</v>
      </c>
      <c r="X28" s="2">
        <f t="shared" si="2"/>
        <v>160</v>
      </c>
    </row>
    <row r="29">
      <c r="A29" s="6" t="s">
        <v>49</v>
      </c>
      <c r="B29" s="7">
        <v>20.0</v>
      </c>
      <c r="F29" s="7">
        <v>20.0</v>
      </c>
      <c r="J29" s="7">
        <v>20.0</v>
      </c>
      <c r="L29" s="7">
        <v>20.0</v>
      </c>
      <c r="M29" s="7">
        <v>20.0</v>
      </c>
      <c r="P29" s="7">
        <v>20.0</v>
      </c>
      <c r="R29" s="7">
        <v>20.0</v>
      </c>
      <c r="S29" s="7">
        <v>20.0</v>
      </c>
      <c r="T29" s="7">
        <v>20.0</v>
      </c>
      <c r="U29" s="7">
        <v>20.0</v>
      </c>
      <c r="V29" s="7">
        <v>20.0</v>
      </c>
      <c r="W29" s="7">
        <v>20.0</v>
      </c>
      <c r="X29" s="2">
        <f t="shared" si="2"/>
        <v>240</v>
      </c>
    </row>
    <row r="30">
      <c r="A30" s="6" t="s">
        <v>50</v>
      </c>
      <c r="B30" s="7">
        <v>20.0</v>
      </c>
      <c r="C30" s="7">
        <v>20.0</v>
      </c>
      <c r="D30" s="7">
        <v>20.0</v>
      </c>
      <c r="E30" s="7">
        <v>20.0</v>
      </c>
      <c r="G30" s="7">
        <v>20.0</v>
      </c>
      <c r="H30" s="7">
        <v>20.0</v>
      </c>
      <c r="J30" s="7">
        <v>20.0</v>
      </c>
      <c r="L30" s="7">
        <v>20.0</v>
      </c>
      <c r="M30" s="7">
        <v>20.0</v>
      </c>
      <c r="P30" s="7">
        <v>20.0</v>
      </c>
      <c r="Q30" s="7">
        <v>20.0</v>
      </c>
      <c r="R30" s="7">
        <v>20.0</v>
      </c>
      <c r="S30" s="7">
        <v>20.0</v>
      </c>
      <c r="T30" s="7">
        <v>20.0</v>
      </c>
      <c r="U30" s="7">
        <v>20.0</v>
      </c>
      <c r="X30" s="2">
        <f t="shared" si="2"/>
        <v>300</v>
      </c>
    </row>
    <row r="31">
      <c r="A31" s="6" t="s">
        <v>51</v>
      </c>
      <c r="B31" s="7">
        <v>20.0</v>
      </c>
      <c r="F31" s="7">
        <v>20.0</v>
      </c>
      <c r="H31" s="7">
        <v>20.0</v>
      </c>
      <c r="K31" s="7">
        <v>20.0</v>
      </c>
      <c r="L31" s="7">
        <v>20.0</v>
      </c>
      <c r="W31" s="7">
        <v>20.0</v>
      </c>
      <c r="X31" s="2">
        <f t="shared" si="2"/>
        <v>120</v>
      </c>
    </row>
    <row r="32">
      <c r="A32" s="6" t="s">
        <v>52</v>
      </c>
      <c r="B32" s="7">
        <v>20.0</v>
      </c>
      <c r="F32" s="7">
        <v>20.0</v>
      </c>
      <c r="X32" s="2">
        <f t="shared" si="2"/>
        <v>40</v>
      </c>
    </row>
    <row r="33">
      <c r="A33" s="6" t="s">
        <v>53</v>
      </c>
      <c r="B33" s="7">
        <v>20.0</v>
      </c>
      <c r="F33" s="7">
        <v>20.0</v>
      </c>
      <c r="H33" s="7">
        <v>20.0</v>
      </c>
      <c r="R33" s="7">
        <v>20.0</v>
      </c>
      <c r="X33" s="2">
        <f t="shared" si="2"/>
        <v>80</v>
      </c>
    </row>
    <row r="34">
      <c r="A34" s="6" t="s">
        <v>54</v>
      </c>
      <c r="D34" s="7">
        <v>20.0</v>
      </c>
      <c r="F34" s="7">
        <v>20.0</v>
      </c>
      <c r="I34" s="7">
        <v>20.0</v>
      </c>
      <c r="J34" s="7">
        <v>20.0</v>
      </c>
      <c r="K34" s="7">
        <v>20.0</v>
      </c>
      <c r="L34" s="7">
        <v>20.0</v>
      </c>
      <c r="M34" s="7">
        <v>20.0</v>
      </c>
      <c r="N34" s="7">
        <v>20.0</v>
      </c>
      <c r="O34" s="7">
        <v>20.0</v>
      </c>
      <c r="P34" s="7">
        <v>20.0</v>
      </c>
      <c r="R34" s="7">
        <v>20.0</v>
      </c>
      <c r="S34" s="7">
        <v>20.0</v>
      </c>
      <c r="T34" s="7">
        <v>20.0</v>
      </c>
      <c r="U34" s="7">
        <v>20.0</v>
      </c>
      <c r="V34" s="7">
        <v>20.0</v>
      </c>
      <c r="W34" s="7">
        <v>20.0</v>
      </c>
      <c r="X34" s="2">
        <f t="shared" si="2"/>
        <v>320</v>
      </c>
    </row>
    <row r="35">
      <c r="A35" s="6" t="s">
        <v>55</v>
      </c>
      <c r="B35" s="7">
        <v>20.0</v>
      </c>
      <c r="C35" s="7">
        <v>20.0</v>
      </c>
      <c r="F35" s="7">
        <v>20.0</v>
      </c>
      <c r="T35" s="7">
        <v>20.0</v>
      </c>
      <c r="X35" s="2">
        <f t="shared" si="2"/>
        <v>80</v>
      </c>
    </row>
    <row r="36">
      <c r="A36" s="6" t="s">
        <v>56</v>
      </c>
      <c r="B36" s="7">
        <v>20.0</v>
      </c>
      <c r="C36" s="7">
        <v>20.0</v>
      </c>
      <c r="D36" s="7">
        <v>20.0</v>
      </c>
      <c r="E36" s="7">
        <v>20.0</v>
      </c>
      <c r="F36" s="7">
        <v>20.0</v>
      </c>
      <c r="G36" s="7">
        <v>20.0</v>
      </c>
      <c r="H36" s="7">
        <v>20.0</v>
      </c>
      <c r="I36" s="7">
        <v>20.0</v>
      </c>
      <c r="J36" s="7">
        <v>20.0</v>
      </c>
      <c r="K36" s="7">
        <v>20.0</v>
      </c>
      <c r="L36" s="7">
        <v>20.0</v>
      </c>
      <c r="M36" s="7">
        <v>20.0</v>
      </c>
      <c r="N36" s="7">
        <v>20.0</v>
      </c>
      <c r="O36" s="7">
        <v>20.0</v>
      </c>
      <c r="P36" s="7">
        <v>20.0</v>
      </c>
      <c r="Q36" s="7">
        <v>20.0</v>
      </c>
      <c r="R36" s="7">
        <v>20.0</v>
      </c>
      <c r="S36" s="7">
        <v>20.0</v>
      </c>
      <c r="T36" s="7">
        <v>20.0</v>
      </c>
      <c r="U36" s="7">
        <v>20.0</v>
      </c>
      <c r="V36" s="7">
        <v>20.0</v>
      </c>
      <c r="W36" s="7">
        <v>20.0</v>
      </c>
      <c r="X36" s="2">
        <f t="shared" si="2"/>
        <v>440</v>
      </c>
    </row>
    <row r="37">
      <c r="A37" s="6" t="s">
        <v>57</v>
      </c>
      <c r="D37" s="7">
        <v>20.0</v>
      </c>
      <c r="F37" s="7">
        <v>20.0</v>
      </c>
      <c r="J37" s="7">
        <v>20.0</v>
      </c>
      <c r="M37" s="7">
        <v>20.0</v>
      </c>
      <c r="N37" s="7">
        <v>20.0</v>
      </c>
      <c r="O37" s="7">
        <v>20.0</v>
      </c>
      <c r="S37" s="7">
        <v>20.0</v>
      </c>
      <c r="U37" s="7">
        <v>20.0</v>
      </c>
      <c r="V37" s="7">
        <v>20.0</v>
      </c>
      <c r="X37" s="2">
        <f t="shared" si="2"/>
        <v>180</v>
      </c>
    </row>
    <row r="38">
      <c r="A38" s="6" t="s">
        <v>58</v>
      </c>
      <c r="B38" s="7">
        <v>20.0</v>
      </c>
      <c r="G38" s="7">
        <v>20.0</v>
      </c>
      <c r="X38" s="2">
        <f t="shared" si="2"/>
        <v>40</v>
      </c>
    </row>
    <row r="39">
      <c r="A39" s="6" t="s">
        <v>59</v>
      </c>
      <c r="B39" s="7">
        <v>20.0</v>
      </c>
      <c r="D39" s="7">
        <v>20.0</v>
      </c>
      <c r="J39" s="7">
        <v>20.0</v>
      </c>
      <c r="L39" s="7">
        <v>20.0</v>
      </c>
      <c r="P39" s="7">
        <v>20.0</v>
      </c>
      <c r="R39" s="7">
        <v>20.0</v>
      </c>
      <c r="V39" s="7">
        <v>20.0</v>
      </c>
      <c r="W39" s="7">
        <v>20.0</v>
      </c>
      <c r="X39" s="2">
        <f t="shared" si="2"/>
        <v>160</v>
      </c>
    </row>
    <row r="40">
      <c r="A40" s="6" t="s">
        <v>60</v>
      </c>
      <c r="F40" s="7">
        <v>20.0</v>
      </c>
      <c r="G40" s="7">
        <v>20.0</v>
      </c>
      <c r="I40" s="7">
        <v>20.0</v>
      </c>
      <c r="K40" s="7">
        <v>20.0</v>
      </c>
      <c r="M40" s="7">
        <v>20.0</v>
      </c>
      <c r="N40" s="7">
        <v>20.0</v>
      </c>
      <c r="O40" s="7">
        <v>20.0</v>
      </c>
      <c r="S40" s="7">
        <v>20.0</v>
      </c>
      <c r="T40" s="7">
        <v>20.0</v>
      </c>
      <c r="U40" s="7">
        <v>20.0</v>
      </c>
      <c r="V40" s="7">
        <v>20.0</v>
      </c>
      <c r="W40" s="7">
        <v>20.0</v>
      </c>
      <c r="X40" s="2">
        <f t="shared" si="2"/>
        <v>240</v>
      </c>
    </row>
    <row r="41">
      <c r="A41" s="6" t="s">
        <v>61</v>
      </c>
      <c r="D41" s="7">
        <v>20.0</v>
      </c>
      <c r="F41" s="7">
        <v>20.0</v>
      </c>
      <c r="G41" s="7">
        <v>20.0</v>
      </c>
      <c r="I41" s="7">
        <v>20.0</v>
      </c>
      <c r="J41" s="7">
        <v>20.0</v>
      </c>
      <c r="K41" s="7">
        <v>20.0</v>
      </c>
      <c r="L41" s="7">
        <v>20.0</v>
      </c>
      <c r="M41" s="7">
        <v>20.0</v>
      </c>
      <c r="N41" s="7">
        <v>20.0</v>
      </c>
      <c r="O41" s="7">
        <v>20.0</v>
      </c>
      <c r="R41" s="7">
        <v>20.0</v>
      </c>
      <c r="S41" s="7">
        <v>20.0</v>
      </c>
      <c r="T41" s="7">
        <v>20.0</v>
      </c>
      <c r="W41" s="7">
        <v>20.0</v>
      </c>
      <c r="X41" s="2">
        <f t="shared" si="2"/>
        <v>280</v>
      </c>
    </row>
    <row r="42">
      <c r="A42" s="6" t="s">
        <v>62</v>
      </c>
      <c r="B42" s="7">
        <v>20.0</v>
      </c>
      <c r="C42" s="7">
        <v>20.0</v>
      </c>
      <c r="D42" s="7">
        <v>20.0</v>
      </c>
      <c r="E42" s="7">
        <v>20.0</v>
      </c>
      <c r="F42" s="7">
        <v>20.0</v>
      </c>
      <c r="H42" s="7">
        <v>20.0</v>
      </c>
      <c r="I42" s="7">
        <v>20.0</v>
      </c>
      <c r="K42" s="7">
        <v>20.0</v>
      </c>
      <c r="L42" s="7">
        <v>20.0</v>
      </c>
      <c r="M42" s="7">
        <v>20.0</v>
      </c>
      <c r="P42" s="7">
        <v>20.0</v>
      </c>
      <c r="Q42" s="7">
        <v>20.0</v>
      </c>
      <c r="R42" s="7">
        <v>20.0</v>
      </c>
      <c r="T42" s="7">
        <v>20.0</v>
      </c>
      <c r="U42" s="7">
        <v>20.0</v>
      </c>
      <c r="V42" s="7">
        <v>20.0</v>
      </c>
      <c r="X42" s="2">
        <f t="shared" si="2"/>
        <v>320</v>
      </c>
    </row>
    <row r="43">
      <c r="A43" s="8" t="s">
        <v>63</v>
      </c>
      <c r="B43" s="7">
        <v>20.0</v>
      </c>
      <c r="C43" s="7">
        <v>20.0</v>
      </c>
      <c r="E43" s="7">
        <v>20.0</v>
      </c>
      <c r="G43" s="7">
        <v>20.0</v>
      </c>
      <c r="H43" s="7">
        <v>20.0</v>
      </c>
      <c r="L43" s="7">
        <v>20.0</v>
      </c>
      <c r="P43" s="7">
        <v>20.0</v>
      </c>
      <c r="Q43" s="7">
        <v>20.0</v>
      </c>
      <c r="R43" s="7">
        <v>20.0</v>
      </c>
      <c r="X43" s="2">
        <f t="shared" si="2"/>
        <v>180</v>
      </c>
    </row>
    <row r="44">
      <c r="A44" s="6" t="s">
        <v>64</v>
      </c>
      <c r="B44" s="7">
        <v>20.0</v>
      </c>
      <c r="X44" s="2">
        <f t="shared" si="2"/>
        <v>20</v>
      </c>
    </row>
    <row r="45">
      <c r="A45" s="6" t="s">
        <v>65</v>
      </c>
      <c r="B45" s="7">
        <v>20.0</v>
      </c>
      <c r="C45" s="7">
        <v>20.0</v>
      </c>
      <c r="E45" s="7">
        <v>20.0</v>
      </c>
      <c r="F45" s="7">
        <v>20.0</v>
      </c>
      <c r="H45" s="7">
        <v>20.0</v>
      </c>
      <c r="L45" s="7">
        <v>20.0</v>
      </c>
      <c r="Q45" s="7">
        <v>20.0</v>
      </c>
      <c r="R45" s="7">
        <v>20.0</v>
      </c>
      <c r="T45" s="7">
        <v>20.0</v>
      </c>
      <c r="X45" s="2">
        <f t="shared" si="2"/>
        <v>180</v>
      </c>
    </row>
    <row r="46">
      <c r="A46" s="6" t="s">
        <v>66</v>
      </c>
      <c r="B46" s="7">
        <v>20.0</v>
      </c>
      <c r="C46" s="7">
        <v>20.0</v>
      </c>
      <c r="D46" s="7">
        <v>20.0</v>
      </c>
      <c r="E46" s="7">
        <v>20.0</v>
      </c>
      <c r="F46" s="7">
        <v>20.0</v>
      </c>
      <c r="G46" s="7">
        <v>20.0</v>
      </c>
      <c r="H46" s="7">
        <v>20.0</v>
      </c>
      <c r="I46" s="7">
        <v>20.0</v>
      </c>
      <c r="J46" s="7">
        <v>20.0</v>
      </c>
      <c r="K46" s="7">
        <v>20.0</v>
      </c>
      <c r="L46" s="7">
        <v>20.0</v>
      </c>
      <c r="M46" s="7">
        <v>20.0</v>
      </c>
      <c r="N46" s="7">
        <v>20.0</v>
      </c>
      <c r="O46" s="7">
        <v>20.0</v>
      </c>
      <c r="P46" s="7">
        <v>20.0</v>
      </c>
      <c r="Q46" s="7">
        <v>20.0</v>
      </c>
      <c r="R46" s="7">
        <v>20.0</v>
      </c>
      <c r="S46" s="7">
        <v>20.0</v>
      </c>
      <c r="T46" s="7">
        <v>20.0</v>
      </c>
      <c r="U46" s="7">
        <v>20.0</v>
      </c>
      <c r="V46" s="7">
        <v>20.0</v>
      </c>
      <c r="W46" s="7">
        <v>20.0</v>
      </c>
      <c r="X46" s="2">
        <f t="shared" si="2"/>
        <v>440</v>
      </c>
    </row>
    <row r="47">
      <c r="A47" s="6" t="s">
        <v>67</v>
      </c>
      <c r="B47" s="7">
        <v>20.0</v>
      </c>
      <c r="F47" s="7">
        <v>20.0</v>
      </c>
      <c r="J47" s="7">
        <v>20.0</v>
      </c>
      <c r="M47" s="7">
        <v>20.0</v>
      </c>
      <c r="N47" s="7">
        <v>20.0</v>
      </c>
      <c r="O47" s="7">
        <v>20.0</v>
      </c>
      <c r="U47" s="7">
        <v>20.0</v>
      </c>
      <c r="V47" s="7">
        <v>20.0</v>
      </c>
      <c r="W47" s="7">
        <v>20.0</v>
      </c>
      <c r="X47" s="2">
        <f t="shared" si="2"/>
        <v>180</v>
      </c>
    </row>
    <row r="48">
      <c r="A48" s="6" t="s">
        <v>68</v>
      </c>
      <c r="C48" s="7">
        <v>20.0</v>
      </c>
      <c r="D48" s="7">
        <v>20.0</v>
      </c>
      <c r="E48" s="7">
        <v>20.0</v>
      </c>
      <c r="G48" s="7">
        <v>20.0</v>
      </c>
      <c r="H48" s="7">
        <v>20.0</v>
      </c>
      <c r="J48" s="7">
        <v>20.0</v>
      </c>
      <c r="K48" s="7">
        <v>20.0</v>
      </c>
      <c r="L48" s="7">
        <v>20.0</v>
      </c>
      <c r="M48" s="7">
        <v>20.0</v>
      </c>
      <c r="N48" s="7">
        <v>20.0</v>
      </c>
      <c r="O48" s="7">
        <v>20.0</v>
      </c>
      <c r="P48" s="7">
        <v>20.0</v>
      </c>
      <c r="Q48" s="7">
        <v>20.0</v>
      </c>
      <c r="R48" s="7">
        <v>20.0</v>
      </c>
      <c r="S48" s="7">
        <v>20.0</v>
      </c>
      <c r="T48" s="7">
        <v>20.0</v>
      </c>
      <c r="W48" s="7">
        <v>20.0</v>
      </c>
      <c r="X48" s="2">
        <f t="shared" si="2"/>
        <v>340</v>
      </c>
    </row>
    <row r="49">
      <c r="A49" s="6" t="s">
        <v>69</v>
      </c>
      <c r="D49" s="7">
        <v>20.0</v>
      </c>
      <c r="F49" s="7">
        <v>20.0</v>
      </c>
      <c r="G49" s="7">
        <v>20.0</v>
      </c>
      <c r="J49" s="7">
        <v>20.0</v>
      </c>
      <c r="K49" s="7">
        <v>20.0</v>
      </c>
      <c r="L49" s="7">
        <v>20.0</v>
      </c>
      <c r="M49" s="7">
        <v>20.0</v>
      </c>
      <c r="N49" s="7">
        <v>20.0</v>
      </c>
      <c r="O49" s="7">
        <v>20.0</v>
      </c>
      <c r="P49" s="7">
        <v>20.0</v>
      </c>
      <c r="R49" s="7">
        <v>20.0</v>
      </c>
      <c r="S49" s="7">
        <v>20.0</v>
      </c>
      <c r="T49" s="7">
        <v>20.0</v>
      </c>
      <c r="V49" s="7">
        <v>20.0</v>
      </c>
      <c r="W49" s="7">
        <v>20.0</v>
      </c>
      <c r="X49" s="2">
        <f t="shared" si="2"/>
        <v>300</v>
      </c>
    </row>
    <row r="50">
      <c r="A50" s="6" t="s">
        <v>70</v>
      </c>
      <c r="D50" s="7">
        <v>20.0</v>
      </c>
      <c r="F50" s="7">
        <v>20.0</v>
      </c>
      <c r="G50" s="7">
        <v>20.0</v>
      </c>
      <c r="K50" s="7">
        <v>20.0</v>
      </c>
      <c r="L50" s="7">
        <v>20.0</v>
      </c>
      <c r="M50" s="7">
        <v>20.0</v>
      </c>
      <c r="N50" s="7">
        <v>20.0</v>
      </c>
      <c r="O50" s="7">
        <v>20.0</v>
      </c>
      <c r="P50" s="7">
        <v>20.0</v>
      </c>
      <c r="S50" s="7">
        <v>20.0</v>
      </c>
      <c r="W50" s="7">
        <v>20.0</v>
      </c>
      <c r="X50" s="2">
        <f t="shared" si="2"/>
        <v>220</v>
      </c>
    </row>
    <row r="51">
      <c r="A51" s="6" t="s">
        <v>71</v>
      </c>
      <c r="B51" s="7">
        <v>20.0</v>
      </c>
      <c r="C51" s="7">
        <v>20.0</v>
      </c>
      <c r="D51" s="7">
        <v>20.0</v>
      </c>
      <c r="E51" s="7">
        <v>20.0</v>
      </c>
      <c r="G51" s="7">
        <v>20.0</v>
      </c>
      <c r="H51" s="7">
        <v>20.0</v>
      </c>
      <c r="I51" s="7">
        <v>20.0</v>
      </c>
      <c r="J51" s="7">
        <v>20.0</v>
      </c>
      <c r="K51" s="7">
        <v>20.0</v>
      </c>
      <c r="L51" s="7">
        <v>20.0</v>
      </c>
      <c r="P51" s="7">
        <v>20.0</v>
      </c>
      <c r="Q51" s="7">
        <v>20.0</v>
      </c>
      <c r="R51" s="7">
        <v>20.0</v>
      </c>
      <c r="T51" s="7">
        <v>20.0</v>
      </c>
      <c r="V51" s="7">
        <v>20.0</v>
      </c>
      <c r="W51" s="7">
        <v>20.0</v>
      </c>
      <c r="X51" s="2">
        <f t="shared" si="2"/>
        <v>320</v>
      </c>
    </row>
    <row r="52">
      <c r="A52" s="6" t="s">
        <v>72</v>
      </c>
      <c r="B52" s="7">
        <v>20.0</v>
      </c>
      <c r="C52" s="7">
        <v>20.0</v>
      </c>
      <c r="D52" s="7">
        <v>20.0</v>
      </c>
      <c r="E52" s="7">
        <v>20.0</v>
      </c>
      <c r="F52" s="7">
        <v>20.0</v>
      </c>
      <c r="H52" s="7">
        <v>20.0</v>
      </c>
      <c r="K52" s="7">
        <v>20.0</v>
      </c>
      <c r="L52" s="7">
        <v>20.0</v>
      </c>
      <c r="Q52" s="7">
        <v>20.0</v>
      </c>
      <c r="T52" s="7">
        <v>20.0</v>
      </c>
      <c r="X52" s="2">
        <f t="shared" si="2"/>
        <v>200</v>
      </c>
    </row>
    <row r="53">
      <c r="A53" s="9" t="s">
        <v>73</v>
      </c>
      <c r="B53" s="7">
        <v>20.0</v>
      </c>
      <c r="C53" s="7">
        <v>20.0</v>
      </c>
      <c r="D53" s="7">
        <v>20.0</v>
      </c>
      <c r="E53" s="7">
        <v>20.0</v>
      </c>
      <c r="F53" s="7">
        <v>20.0</v>
      </c>
      <c r="G53" s="7">
        <v>20.0</v>
      </c>
      <c r="H53" s="7">
        <v>20.0</v>
      </c>
      <c r="I53" s="7">
        <v>20.0</v>
      </c>
      <c r="J53" s="7">
        <v>20.0</v>
      </c>
      <c r="K53" s="7">
        <v>20.0</v>
      </c>
      <c r="L53" s="7">
        <v>20.0</v>
      </c>
      <c r="M53" s="7">
        <v>20.0</v>
      </c>
      <c r="N53" s="7">
        <v>20.0</v>
      </c>
      <c r="O53" s="7">
        <v>20.0</v>
      </c>
      <c r="P53" s="7">
        <v>20.0</v>
      </c>
      <c r="Q53" s="7">
        <v>20.0</v>
      </c>
      <c r="R53" s="7">
        <v>20.0</v>
      </c>
      <c r="S53" s="7">
        <v>20.0</v>
      </c>
      <c r="T53" s="7">
        <v>20.0</v>
      </c>
      <c r="U53" s="7">
        <v>20.0</v>
      </c>
      <c r="V53" s="7">
        <v>20.0</v>
      </c>
      <c r="W53" s="7">
        <v>20.0</v>
      </c>
      <c r="X53" s="2">
        <f t="shared" si="2"/>
        <v>440</v>
      </c>
    </row>
    <row r="54">
      <c r="A54" s="6" t="s">
        <v>74</v>
      </c>
      <c r="B54" s="7">
        <v>20.0</v>
      </c>
      <c r="F54" s="7">
        <v>20.0</v>
      </c>
      <c r="H54" s="7">
        <v>20.0</v>
      </c>
      <c r="T54" s="7">
        <v>20.0</v>
      </c>
      <c r="W54" s="7">
        <v>20.0</v>
      </c>
      <c r="X54" s="2">
        <f t="shared" si="2"/>
        <v>100</v>
      </c>
    </row>
    <row r="55">
      <c r="A55" s="6" t="s">
        <v>75</v>
      </c>
      <c r="C55" s="7">
        <v>20.0</v>
      </c>
      <c r="D55" s="7">
        <v>20.0</v>
      </c>
      <c r="E55" s="7">
        <v>20.0</v>
      </c>
      <c r="F55" s="7">
        <v>20.0</v>
      </c>
      <c r="G55" s="7">
        <v>20.0</v>
      </c>
      <c r="H55" s="7">
        <v>20.0</v>
      </c>
      <c r="J55" s="7">
        <v>20.0</v>
      </c>
      <c r="K55" s="7">
        <v>20.0</v>
      </c>
      <c r="L55" s="7">
        <v>20.0</v>
      </c>
      <c r="M55" s="7">
        <v>20.0</v>
      </c>
      <c r="N55" s="7">
        <v>20.0</v>
      </c>
      <c r="O55" s="7">
        <v>20.0</v>
      </c>
      <c r="P55" s="7">
        <v>20.0</v>
      </c>
      <c r="Q55" s="7">
        <v>20.0</v>
      </c>
      <c r="R55" s="7">
        <v>20.0</v>
      </c>
      <c r="S55" s="7">
        <v>20.0</v>
      </c>
      <c r="T55" s="7">
        <v>20.0</v>
      </c>
      <c r="U55" s="7">
        <v>20.0</v>
      </c>
      <c r="V55" s="7">
        <v>20.0</v>
      </c>
      <c r="W55" s="7">
        <v>20.0</v>
      </c>
      <c r="X55" s="2">
        <f t="shared" si="2"/>
        <v>400</v>
      </c>
    </row>
    <row r="56">
      <c r="A56" s="6" t="s">
        <v>76</v>
      </c>
      <c r="B56" s="7">
        <v>20.0</v>
      </c>
      <c r="G56" s="7">
        <v>20.0</v>
      </c>
      <c r="H56" s="7">
        <v>20.0</v>
      </c>
      <c r="J56" s="7">
        <v>20.0</v>
      </c>
      <c r="P56" s="7">
        <v>20.0</v>
      </c>
      <c r="T56" s="7">
        <v>20.0</v>
      </c>
      <c r="V56" s="7">
        <v>20.0</v>
      </c>
      <c r="X56" s="2">
        <f t="shared" si="2"/>
        <v>140</v>
      </c>
    </row>
    <row r="57">
      <c r="A57" s="6" t="s">
        <v>77</v>
      </c>
      <c r="C57" s="7">
        <v>20.0</v>
      </c>
      <c r="D57" s="7">
        <v>20.0</v>
      </c>
      <c r="E57" s="7">
        <v>20.0</v>
      </c>
      <c r="F57" s="7">
        <v>20.0</v>
      </c>
      <c r="G57" s="7">
        <v>20.0</v>
      </c>
      <c r="M57" s="7">
        <v>20.0</v>
      </c>
      <c r="N57" s="7">
        <v>20.0</v>
      </c>
      <c r="O57" s="7">
        <v>20.0</v>
      </c>
      <c r="Q57" s="7">
        <v>20.0</v>
      </c>
      <c r="V57" s="7">
        <v>20.0</v>
      </c>
      <c r="X57" s="2">
        <f t="shared" si="2"/>
        <v>200</v>
      </c>
    </row>
    <row r="58">
      <c r="A58" s="6" t="s">
        <v>78</v>
      </c>
      <c r="C58" s="7">
        <v>20.0</v>
      </c>
      <c r="D58" s="7">
        <v>20.0</v>
      </c>
      <c r="E58" s="7">
        <v>20.0</v>
      </c>
      <c r="F58" s="7">
        <v>20.0</v>
      </c>
      <c r="G58" s="7">
        <v>20.0</v>
      </c>
      <c r="H58" s="7">
        <v>20.0</v>
      </c>
      <c r="I58" s="7">
        <v>20.0</v>
      </c>
      <c r="J58" s="7">
        <v>20.0</v>
      </c>
      <c r="K58" s="7">
        <v>20.0</v>
      </c>
      <c r="L58" s="7">
        <v>20.0</v>
      </c>
      <c r="M58" s="7">
        <v>20.0</v>
      </c>
      <c r="N58" s="7">
        <v>20.0</v>
      </c>
      <c r="O58" s="7">
        <v>20.0</v>
      </c>
      <c r="P58" s="7">
        <v>20.0</v>
      </c>
      <c r="Q58" s="7">
        <v>20.0</v>
      </c>
      <c r="R58" s="7">
        <v>20.0</v>
      </c>
      <c r="S58" s="7">
        <v>20.0</v>
      </c>
      <c r="T58" s="7">
        <v>20.0</v>
      </c>
      <c r="U58" s="7">
        <v>20.0</v>
      </c>
      <c r="V58" s="7">
        <v>20.0</v>
      </c>
      <c r="W58" s="7">
        <v>20.0</v>
      </c>
      <c r="X58" s="2">
        <f t="shared" si="2"/>
        <v>420</v>
      </c>
    </row>
    <row r="59">
      <c r="A59" s="6" t="s">
        <v>79</v>
      </c>
      <c r="C59" s="7">
        <v>20.0</v>
      </c>
      <c r="D59" s="7">
        <v>20.0</v>
      </c>
      <c r="E59" s="7">
        <v>20.0</v>
      </c>
      <c r="G59" s="7">
        <v>20.0</v>
      </c>
      <c r="H59" s="7">
        <v>20.0</v>
      </c>
      <c r="I59" s="7">
        <v>20.0</v>
      </c>
      <c r="J59" s="7">
        <v>20.0</v>
      </c>
      <c r="K59" s="7">
        <v>20.0</v>
      </c>
      <c r="L59" s="7">
        <v>20.0</v>
      </c>
      <c r="M59" s="7">
        <v>20.0</v>
      </c>
      <c r="N59" s="7">
        <v>20.0</v>
      </c>
      <c r="O59" s="7">
        <v>20.0</v>
      </c>
      <c r="P59" s="7">
        <v>20.0</v>
      </c>
      <c r="Q59" s="7">
        <v>20.0</v>
      </c>
      <c r="R59" s="7">
        <v>20.0</v>
      </c>
      <c r="S59" s="7">
        <v>20.0</v>
      </c>
      <c r="T59" s="7">
        <v>20.0</v>
      </c>
      <c r="U59" s="7">
        <v>20.0</v>
      </c>
      <c r="V59" s="7">
        <v>20.0</v>
      </c>
      <c r="W59" s="7">
        <v>20.0</v>
      </c>
      <c r="X59" s="2">
        <f t="shared" si="2"/>
        <v>400</v>
      </c>
    </row>
    <row r="60">
      <c r="A60" s="6" t="s">
        <v>80</v>
      </c>
      <c r="C60" s="7">
        <v>20.0</v>
      </c>
      <c r="D60" s="7">
        <v>20.0</v>
      </c>
      <c r="E60" s="7">
        <v>20.0</v>
      </c>
      <c r="H60" s="7">
        <v>20.0</v>
      </c>
      <c r="I60" s="7">
        <v>20.0</v>
      </c>
      <c r="J60" s="7">
        <v>20.0</v>
      </c>
      <c r="K60" s="7">
        <v>20.0</v>
      </c>
      <c r="L60" s="7">
        <v>20.0</v>
      </c>
      <c r="M60" s="7">
        <v>20.0</v>
      </c>
      <c r="N60" s="7">
        <v>20.0</v>
      </c>
      <c r="O60" s="7">
        <v>20.0</v>
      </c>
      <c r="P60" s="7">
        <v>20.0</v>
      </c>
      <c r="Q60" s="7">
        <v>20.0</v>
      </c>
      <c r="R60" s="7">
        <v>20.0</v>
      </c>
      <c r="S60" s="7">
        <v>20.0</v>
      </c>
      <c r="T60" s="7">
        <v>20.0</v>
      </c>
      <c r="U60" s="7">
        <v>20.0</v>
      </c>
      <c r="V60" s="7">
        <v>20.0</v>
      </c>
      <c r="W60" s="7">
        <v>20.0</v>
      </c>
      <c r="X60" s="2">
        <f t="shared" si="2"/>
        <v>380</v>
      </c>
    </row>
    <row r="61">
      <c r="A61" s="6" t="s">
        <v>81</v>
      </c>
      <c r="C61" s="7">
        <v>20.0</v>
      </c>
      <c r="D61" s="7">
        <v>20.0</v>
      </c>
      <c r="E61" s="7">
        <v>20.0</v>
      </c>
      <c r="G61" s="7">
        <v>20.0</v>
      </c>
      <c r="H61" s="7">
        <v>20.0</v>
      </c>
      <c r="I61" s="7">
        <v>20.0</v>
      </c>
      <c r="J61" s="7">
        <v>20.0</v>
      </c>
      <c r="K61" s="7">
        <v>20.0</v>
      </c>
      <c r="L61" s="7">
        <v>20.0</v>
      </c>
      <c r="M61" s="7">
        <v>20.0</v>
      </c>
      <c r="N61" s="7">
        <v>20.0</v>
      </c>
      <c r="O61" s="7">
        <v>20.0</v>
      </c>
      <c r="P61" s="7">
        <v>20.0</v>
      </c>
      <c r="Q61" s="7">
        <v>20.0</v>
      </c>
      <c r="R61" s="7">
        <v>20.0</v>
      </c>
      <c r="S61" s="7">
        <v>20.0</v>
      </c>
      <c r="T61" s="7">
        <v>20.0</v>
      </c>
      <c r="U61" s="7">
        <v>20.0</v>
      </c>
      <c r="V61" s="7">
        <v>20.0</v>
      </c>
      <c r="W61" s="7">
        <v>20.0</v>
      </c>
      <c r="X61" s="2">
        <f t="shared" si="2"/>
        <v>400</v>
      </c>
    </row>
    <row r="62">
      <c r="A62" s="6" t="s">
        <v>82</v>
      </c>
      <c r="D62" s="7">
        <v>20.0</v>
      </c>
      <c r="F62" s="7">
        <v>20.0</v>
      </c>
      <c r="G62" s="7">
        <v>20.0</v>
      </c>
      <c r="K62" s="7">
        <v>20.0</v>
      </c>
      <c r="M62" s="7">
        <v>20.0</v>
      </c>
      <c r="N62" s="7">
        <v>20.0</v>
      </c>
      <c r="O62" s="7">
        <v>20.0</v>
      </c>
      <c r="X62" s="2">
        <f t="shared" si="2"/>
        <v>140</v>
      </c>
    </row>
    <row r="63">
      <c r="A63" s="6" t="s">
        <v>83</v>
      </c>
      <c r="B63" s="7">
        <v>20.0</v>
      </c>
      <c r="E63" s="7">
        <v>20.0</v>
      </c>
      <c r="K63" s="7">
        <v>20.0</v>
      </c>
      <c r="L63" s="7">
        <v>20.0</v>
      </c>
      <c r="N63" s="7">
        <v>20.0</v>
      </c>
      <c r="O63" s="7">
        <v>20.0</v>
      </c>
      <c r="T63" s="7">
        <v>20.0</v>
      </c>
      <c r="X63" s="2">
        <f t="shared" si="2"/>
        <v>140</v>
      </c>
    </row>
    <row r="64">
      <c r="A64" s="6" t="s">
        <v>84</v>
      </c>
      <c r="B64" s="7">
        <v>20.0</v>
      </c>
      <c r="D64" s="7">
        <v>20.0</v>
      </c>
      <c r="E64" s="7">
        <v>20.0</v>
      </c>
      <c r="G64" s="7">
        <v>20.0</v>
      </c>
      <c r="H64" s="7">
        <v>20.0</v>
      </c>
      <c r="R64" s="7">
        <v>20.0</v>
      </c>
      <c r="U64" s="7">
        <v>20.0</v>
      </c>
      <c r="V64" s="7">
        <v>20.0</v>
      </c>
      <c r="X64" s="2">
        <f t="shared" si="2"/>
        <v>160</v>
      </c>
    </row>
    <row r="65">
      <c r="A65" s="6" t="s">
        <v>85</v>
      </c>
      <c r="B65" s="7">
        <v>20.0</v>
      </c>
      <c r="C65" s="7">
        <v>20.0</v>
      </c>
      <c r="D65" s="7">
        <v>20.0</v>
      </c>
      <c r="E65" s="7">
        <v>20.0</v>
      </c>
      <c r="F65" s="7">
        <v>20.0</v>
      </c>
      <c r="G65" s="7">
        <v>20.0</v>
      </c>
      <c r="H65" s="7">
        <v>20.0</v>
      </c>
      <c r="I65" s="7">
        <v>20.0</v>
      </c>
      <c r="J65" s="7">
        <v>20.0</v>
      </c>
      <c r="K65" s="7">
        <v>20.0</v>
      </c>
      <c r="L65" s="7">
        <v>20.0</v>
      </c>
      <c r="M65" s="7">
        <v>20.0</v>
      </c>
      <c r="N65" s="7">
        <v>20.0</v>
      </c>
      <c r="O65" s="7">
        <v>20.0</v>
      </c>
      <c r="P65" s="7">
        <v>20.0</v>
      </c>
      <c r="Q65" s="7">
        <v>20.0</v>
      </c>
      <c r="R65" s="7">
        <v>20.0</v>
      </c>
      <c r="S65" s="7">
        <v>20.0</v>
      </c>
      <c r="T65" s="7">
        <v>20.0</v>
      </c>
      <c r="U65" s="7">
        <v>20.0</v>
      </c>
      <c r="V65" s="7">
        <v>20.0</v>
      </c>
      <c r="W65" s="7">
        <v>20.0</v>
      </c>
      <c r="X65" s="2">
        <f t="shared" si="2"/>
        <v>440</v>
      </c>
    </row>
    <row r="66">
      <c r="A66" s="6" t="s">
        <v>86</v>
      </c>
      <c r="B66" s="7">
        <v>20.0</v>
      </c>
      <c r="C66" s="7">
        <v>20.0</v>
      </c>
      <c r="D66" s="7">
        <v>20.0</v>
      </c>
      <c r="E66" s="7">
        <v>20.0</v>
      </c>
      <c r="F66" s="7">
        <v>20.0</v>
      </c>
      <c r="G66" s="7">
        <v>20.0</v>
      </c>
      <c r="H66" s="7">
        <v>20.0</v>
      </c>
      <c r="I66" s="7">
        <v>20.0</v>
      </c>
      <c r="J66" s="7">
        <v>20.0</v>
      </c>
      <c r="K66" s="7">
        <v>20.0</v>
      </c>
      <c r="L66" s="7">
        <v>20.0</v>
      </c>
      <c r="M66" s="7">
        <v>20.0</v>
      </c>
      <c r="N66" s="7">
        <v>20.0</v>
      </c>
      <c r="O66" s="7">
        <v>20.0</v>
      </c>
      <c r="P66" s="7">
        <v>20.0</v>
      </c>
      <c r="Q66" s="7">
        <v>20.0</v>
      </c>
      <c r="R66" s="7">
        <v>20.0</v>
      </c>
      <c r="S66" s="7">
        <v>20.0</v>
      </c>
      <c r="T66" s="7">
        <v>20.0</v>
      </c>
      <c r="U66" s="7">
        <v>20.0</v>
      </c>
      <c r="V66" s="7">
        <v>20.0</v>
      </c>
      <c r="W66" s="7">
        <v>20.0</v>
      </c>
      <c r="X66" s="2">
        <f t="shared" si="2"/>
        <v>440</v>
      </c>
    </row>
    <row r="67">
      <c r="A67" s="6" t="s">
        <v>87</v>
      </c>
      <c r="B67" s="7">
        <v>20.0</v>
      </c>
      <c r="C67" s="7">
        <v>20.0</v>
      </c>
      <c r="D67" s="7">
        <v>20.0</v>
      </c>
      <c r="E67" s="7">
        <v>20.0</v>
      </c>
      <c r="H67" s="7">
        <v>20.0</v>
      </c>
      <c r="J67" s="7">
        <v>20.0</v>
      </c>
      <c r="K67" s="7">
        <v>20.0</v>
      </c>
      <c r="L67" s="7">
        <v>20.0</v>
      </c>
      <c r="M67" s="7">
        <v>20.0</v>
      </c>
      <c r="P67" s="7">
        <v>20.0</v>
      </c>
      <c r="Q67" s="7">
        <v>20.0</v>
      </c>
      <c r="R67" s="7">
        <v>20.0</v>
      </c>
      <c r="S67" s="7">
        <v>20.0</v>
      </c>
      <c r="T67" s="7">
        <v>20.0</v>
      </c>
      <c r="U67" s="7">
        <v>20.0</v>
      </c>
      <c r="V67" s="7">
        <v>20.0</v>
      </c>
      <c r="W67" s="7">
        <v>20.0</v>
      </c>
      <c r="X67" s="2">
        <f t="shared" si="2"/>
        <v>340</v>
      </c>
    </row>
    <row r="68">
      <c r="A68" s="6" t="s">
        <v>88</v>
      </c>
      <c r="D68" s="7">
        <v>20.0</v>
      </c>
      <c r="F68" s="7">
        <v>20.0</v>
      </c>
      <c r="G68" s="7">
        <v>20.0</v>
      </c>
      <c r="I68" s="7">
        <v>20.0</v>
      </c>
      <c r="K68" s="7">
        <v>20.0</v>
      </c>
      <c r="L68" s="7">
        <v>20.0</v>
      </c>
      <c r="M68" s="7">
        <v>20.0</v>
      </c>
      <c r="N68" s="7">
        <v>20.0</v>
      </c>
      <c r="O68" s="7">
        <v>20.0</v>
      </c>
      <c r="P68" s="7">
        <v>20.0</v>
      </c>
      <c r="S68" s="7">
        <v>20.0</v>
      </c>
      <c r="U68" s="7">
        <v>20.0</v>
      </c>
      <c r="W68" s="7">
        <v>20.0</v>
      </c>
      <c r="X68" s="2">
        <f t="shared" si="2"/>
        <v>260</v>
      </c>
    </row>
    <row r="69">
      <c r="A69" s="6" t="s">
        <v>89</v>
      </c>
      <c r="C69" s="7">
        <v>20.0</v>
      </c>
      <c r="D69" s="7">
        <v>20.0</v>
      </c>
      <c r="E69" s="7">
        <v>20.0</v>
      </c>
      <c r="F69" s="7">
        <v>20.0</v>
      </c>
      <c r="G69" s="7">
        <v>20.0</v>
      </c>
      <c r="I69" s="7"/>
      <c r="J69" s="7">
        <v>20.0</v>
      </c>
      <c r="L69" s="7">
        <v>20.0</v>
      </c>
      <c r="N69" s="7">
        <v>20.0</v>
      </c>
      <c r="O69" s="7">
        <v>20.0</v>
      </c>
      <c r="Q69" s="7">
        <v>20.0</v>
      </c>
      <c r="T69" s="7">
        <v>20.0</v>
      </c>
      <c r="W69" s="7">
        <v>20.0</v>
      </c>
      <c r="X69" s="2">
        <f t="shared" si="2"/>
        <v>240</v>
      </c>
    </row>
    <row r="70">
      <c r="A70" s="6" t="s">
        <v>90</v>
      </c>
      <c r="B70" s="7">
        <v>20.0</v>
      </c>
      <c r="F70" s="7">
        <v>20.0</v>
      </c>
      <c r="G70" s="7">
        <v>20.0</v>
      </c>
      <c r="U70" s="7">
        <v>20.0</v>
      </c>
      <c r="W70" s="7">
        <v>20.0</v>
      </c>
      <c r="X70" s="2">
        <f t="shared" si="2"/>
        <v>100</v>
      </c>
    </row>
    <row r="71">
      <c r="A71" s="6" t="s">
        <v>91</v>
      </c>
      <c r="D71" s="7">
        <v>20.0</v>
      </c>
      <c r="G71" s="7">
        <v>20.0</v>
      </c>
      <c r="I71" s="7">
        <v>20.0</v>
      </c>
      <c r="J71" s="7">
        <v>20.0</v>
      </c>
      <c r="K71" s="7">
        <v>20.0</v>
      </c>
      <c r="M71" s="7">
        <v>20.0</v>
      </c>
      <c r="N71" s="7">
        <v>20.0</v>
      </c>
      <c r="O71" s="7">
        <v>20.0</v>
      </c>
      <c r="P71" s="7">
        <v>20.0</v>
      </c>
      <c r="R71" s="7">
        <v>20.0</v>
      </c>
      <c r="S71" s="7">
        <v>20.0</v>
      </c>
      <c r="T71" s="7">
        <v>20.0</v>
      </c>
      <c r="V71" s="7">
        <v>20.0</v>
      </c>
      <c r="X71" s="2">
        <f t="shared" si="2"/>
        <v>260</v>
      </c>
    </row>
    <row r="72">
      <c r="A72" s="6" t="s">
        <v>92</v>
      </c>
      <c r="B72" s="7">
        <v>20.0</v>
      </c>
      <c r="U72" s="7">
        <v>20.0</v>
      </c>
      <c r="X72" s="2">
        <f t="shared" si="2"/>
        <v>40</v>
      </c>
    </row>
    <row r="73">
      <c r="A73" s="6" t="s">
        <v>93</v>
      </c>
      <c r="D73" s="7">
        <v>20.0</v>
      </c>
      <c r="F73" s="7">
        <v>20.0</v>
      </c>
      <c r="G73" s="7">
        <v>20.0</v>
      </c>
      <c r="J73" s="7">
        <v>20.0</v>
      </c>
      <c r="L73" s="7">
        <v>20.0</v>
      </c>
      <c r="M73" s="7">
        <v>20.0</v>
      </c>
      <c r="N73" s="7">
        <v>20.0</v>
      </c>
      <c r="O73" s="7">
        <v>20.0</v>
      </c>
      <c r="P73" s="7">
        <v>20.0</v>
      </c>
      <c r="S73" s="7">
        <v>20.0</v>
      </c>
      <c r="V73" s="7">
        <v>20.0</v>
      </c>
      <c r="W73" s="7">
        <v>20.0</v>
      </c>
      <c r="X73" s="2">
        <f t="shared" si="2"/>
        <v>240</v>
      </c>
    </row>
    <row r="74">
      <c r="A74" s="6" t="s">
        <v>94</v>
      </c>
      <c r="D74" s="7">
        <v>20.0</v>
      </c>
      <c r="F74" s="7">
        <v>20.0</v>
      </c>
      <c r="L74" s="7">
        <v>20.0</v>
      </c>
      <c r="M74" s="7">
        <v>20.0</v>
      </c>
      <c r="N74" s="7">
        <v>20.0</v>
      </c>
      <c r="O74" s="7">
        <v>20.0</v>
      </c>
      <c r="P74" s="7">
        <v>20.0</v>
      </c>
      <c r="S74" s="7">
        <v>20.0</v>
      </c>
      <c r="V74" s="7">
        <v>20.0</v>
      </c>
      <c r="W74" s="7">
        <v>20.0</v>
      </c>
      <c r="X74" s="2">
        <f t="shared" si="2"/>
        <v>200</v>
      </c>
    </row>
    <row r="75">
      <c r="A75" s="6" t="s">
        <v>95</v>
      </c>
      <c r="B75" s="7">
        <v>50.0</v>
      </c>
      <c r="O75" s="7">
        <v>50.0</v>
      </c>
      <c r="P75" s="7">
        <v>50.0</v>
      </c>
      <c r="X75" s="2">
        <f t="shared" si="2"/>
        <v>150</v>
      </c>
    </row>
    <row r="76">
      <c r="A76" s="6" t="s">
        <v>96</v>
      </c>
      <c r="B76" s="7">
        <v>50.0</v>
      </c>
      <c r="E76" s="7">
        <v>50.0</v>
      </c>
      <c r="F76" s="7">
        <v>50.0</v>
      </c>
      <c r="G76" s="7">
        <v>50.0</v>
      </c>
      <c r="U76" s="7">
        <v>50.0</v>
      </c>
      <c r="X76" s="2">
        <f t="shared" si="2"/>
        <v>250</v>
      </c>
    </row>
    <row r="77">
      <c r="A77" s="6" t="s">
        <v>97</v>
      </c>
      <c r="F77" s="7">
        <v>50.0</v>
      </c>
      <c r="G77" s="7">
        <v>50.0</v>
      </c>
      <c r="J77" s="7">
        <v>50.0</v>
      </c>
      <c r="N77" s="7">
        <v>50.0</v>
      </c>
      <c r="O77" s="7">
        <v>50.0</v>
      </c>
      <c r="T77" s="7">
        <v>50.0</v>
      </c>
      <c r="W77" s="7">
        <v>50.0</v>
      </c>
      <c r="X77" s="2">
        <f t="shared" si="2"/>
        <v>350</v>
      </c>
    </row>
    <row r="78">
      <c r="A78" s="6" t="s">
        <v>98</v>
      </c>
      <c r="B78" s="7">
        <v>50.0</v>
      </c>
      <c r="D78" s="7">
        <v>50.0</v>
      </c>
      <c r="F78" s="7">
        <v>50.0</v>
      </c>
      <c r="I78" s="7">
        <v>50.0</v>
      </c>
      <c r="K78" s="7">
        <v>50.0</v>
      </c>
      <c r="M78" s="7">
        <v>50.0</v>
      </c>
      <c r="N78" s="7">
        <v>50.0</v>
      </c>
      <c r="O78" s="7">
        <v>50.0</v>
      </c>
      <c r="P78" s="7">
        <v>50.0</v>
      </c>
      <c r="R78" s="7">
        <v>50.0</v>
      </c>
      <c r="S78" s="7">
        <v>50.0</v>
      </c>
      <c r="X78" s="2">
        <f t="shared" si="2"/>
        <v>550</v>
      </c>
    </row>
    <row r="79">
      <c r="A79" s="6" t="s">
        <v>99</v>
      </c>
      <c r="B79" s="7">
        <v>50.0</v>
      </c>
      <c r="F79" s="7">
        <v>50.0</v>
      </c>
      <c r="L79" s="7">
        <v>50.0</v>
      </c>
      <c r="M79" s="7">
        <v>50.0</v>
      </c>
      <c r="R79" s="7">
        <v>50.0</v>
      </c>
      <c r="X79" s="2">
        <f t="shared" si="2"/>
        <v>250</v>
      </c>
    </row>
    <row r="80">
      <c r="A80" s="6" t="s">
        <v>100</v>
      </c>
      <c r="B80" s="7">
        <v>50.0</v>
      </c>
      <c r="G80" s="7">
        <v>50.0</v>
      </c>
      <c r="K80" s="7">
        <v>50.0</v>
      </c>
      <c r="S80" s="7">
        <v>50.0</v>
      </c>
      <c r="X80" s="2">
        <f t="shared" si="2"/>
        <v>200</v>
      </c>
    </row>
    <row r="81">
      <c r="A81" s="6" t="s">
        <v>101</v>
      </c>
      <c r="B81" s="7">
        <v>50.0</v>
      </c>
      <c r="C81" s="7">
        <v>50.0</v>
      </c>
      <c r="D81" s="7">
        <v>50.0</v>
      </c>
      <c r="E81" s="7">
        <v>50.0</v>
      </c>
      <c r="F81" s="7">
        <v>50.0</v>
      </c>
      <c r="H81" s="7">
        <v>50.0</v>
      </c>
      <c r="I81" s="7">
        <v>50.0</v>
      </c>
      <c r="L81" s="7">
        <v>50.0</v>
      </c>
      <c r="O81" s="7">
        <v>50.0</v>
      </c>
      <c r="Q81" s="7">
        <v>50.0</v>
      </c>
      <c r="V81" s="7">
        <v>50.0</v>
      </c>
      <c r="W81" s="7">
        <v>50.0</v>
      </c>
      <c r="X81" s="2">
        <f t="shared" si="2"/>
        <v>600</v>
      </c>
    </row>
    <row r="82">
      <c r="A82" s="6" t="s">
        <v>102</v>
      </c>
      <c r="C82" s="7">
        <v>50.0</v>
      </c>
      <c r="E82" s="7">
        <v>50.0</v>
      </c>
      <c r="F82" s="7">
        <v>50.0</v>
      </c>
      <c r="G82" s="7">
        <v>50.0</v>
      </c>
      <c r="H82" s="7">
        <v>50.0</v>
      </c>
      <c r="J82" s="7">
        <v>50.0</v>
      </c>
      <c r="N82" s="7">
        <v>50.0</v>
      </c>
      <c r="O82" s="7">
        <v>50.0</v>
      </c>
      <c r="P82" s="7">
        <v>50.0</v>
      </c>
      <c r="Q82" s="7">
        <v>50.0</v>
      </c>
      <c r="R82" s="7">
        <v>50.0</v>
      </c>
      <c r="T82" s="7">
        <v>50.0</v>
      </c>
      <c r="V82" s="7">
        <v>50.0</v>
      </c>
      <c r="W82" s="7">
        <v>50.0</v>
      </c>
      <c r="X82" s="2">
        <f t="shared" si="2"/>
        <v>700</v>
      </c>
    </row>
    <row r="83">
      <c r="A83" s="6" t="s">
        <v>103</v>
      </c>
      <c r="C83" s="7">
        <v>50.0</v>
      </c>
      <c r="D83" s="7">
        <v>50.0</v>
      </c>
      <c r="E83" s="7">
        <v>50.0</v>
      </c>
      <c r="H83" s="7">
        <v>50.0</v>
      </c>
      <c r="I83" s="7">
        <v>50.0</v>
      </c>
      <c r="J83" s="7">
        <v>50.0</v>
      </c>
      <c r="K83" s="7">
        <v>50.0</v>
      </c>
      <c r="L83" s="7">
        <v>50.0</v>
      </c>
      <c r="M83" s="7">
        <v>50.0</v>
      </c>
      <c r="N83" s="7">
        <v>50.0</v>
      </c>
      <c r="P83" s="7">
        <v>50.0</v>
      </c>
      <c r="Q83" s="7">
        <v>50.0</v>
      </c>
      <c r="R83" s="7">
        <v>50.0</v>
      </c>
      <c r="S83" s="7">
        <v>50.0</v>
      </c>
      <c r="T83" s="7">
        <v>50.0</v>
      </c>
      <c r="V83" s="7">
        <v>50.0</v>
      </c>
      <c r="W83" s="7">
        <v>50.0</v>
      </c>
      <c r="X83" s="2">
        <f t="shared" si="2"/>
        <v>850</v>
      </c>
    </row>
    <row r="84">
      <c r="A84" s="6" t="s">
        <v>104</v>
      </c>
      <c r="B84" s="7">
        <v>50.0</v>
      </c>
      <c r="E84" s="7">
        <v>50.0</v>
      </c>
      <c r="F84" s="7">
        <v>50.0</v>
      </c>
      <c r="H84" s="7">
        <v>50.0</v>
      </c>
      <c r="Q84" s="7">
        <v>50.0</v>
      </c>
      <c r="U84" s="7">
        <v>50.0</v>
      </c>
      <c r="X84" s="2">
        <f t="shared" si="2"/>
        <v>300</v>
      </c>
    </row>
    <row r="85">
      <c r="A85" s="6" t="s">
        <v>105</v>
      </c>
      <c r="B85" s="7">
        <v>50.0</v>
      </c>
      <c r="G85" s="7">
        <v>50.0</v>
      </c>
      <c r="H85" s="7">
        <v>50.0</v>
      </c>
      <c r="J85" s="7">
        <v>50.0</v>
      </c>
      <c r="K85" s="7">
        <v>50.0</v>
      </c>
      <c r="R85" s="7">
        <v>50.0</v>
      </c>
      <c r="T85" s="7">
        <v>50.0</v>
      </c>
      <c r="W85" s="7">
        <v>50.0</v>
      </c>
      <c r="X85" s="2">
        <f t="shared" si="2"/>
        <v>400</v>
      </c>
    </row>
    <row r="86">
      <c r="A86" s="6" t="s">
        <v>106</v>
      </c>
      <c r="B86" s="7">
        <v>50.0</v>
      </c>
      <c r="F86" s="7">
        <v>50.0</v>
      </c>
      <c r="J86" s="7">
        <v>50.0</v>
      </c>
      <c r="M86" s="7">
        <v>50.0</v>
      </c>
      <c r="S86" s="7">
        <v>50.0</v>
      </c>
      <c r="W86" s="7">
        <v>50.0</v>
      </c>
      <c r="X86" s="2">
        <f t="shared" si="2"/>
        <v>300</v>
      </c>
    </row>
    <row r="87">
      <c r="A87" s="6" t="s">
        <v>107</v>
      </c>
      <c r="B87" s="7">
        <v>50.0</v>
      </c>
      <c r="C87" s="7">
        <v>50.0</v>
      </c>
      <c r="D87" s="7">
        <v>50.0</v>
      </c>
      <c r="G87" s="7">
        <v>50.0</v>
      </c>
      <c r="H87" s="7">
        <v>50.0</v>
      </c>
      <c r="I87" s="7">
        <v>50.0</v>
      </c>
      <c r="O87" s="7">
        <v>50.0</v>
      </c>
      <c r="W87" s="7">
        <v>50.0</v>
      </c>
      <c r="X87" s="2">
        <f t="shared" si="2"/>
        <v>400</v>
      </c>
    </row>
    <row r="88">
      <c r="A88" s="6" t="s">
        <v>108</v>
      </c>
      <c r="D88" s="7">
        <v>50.0</v>
      </c>
      <c r="F88" s="7">
        <v>50.0</v>
      </c>
      <c r="G88" s="7">
        <v>50.0</v>
      </c>
      <c r="I88" s="7">
        <v>50.0</v>
      </c>
      <c r="K88" s="7">
        <v>50.0</v>
      </c>
      <c r="M88" s="7">
        <v>50.0</v>
      </c>
      <c r="N88" s="7">
        <v>50.0</v>
      </c>
      <c r="O88" s="7">
        <v>50.0</v>
      </c>
      <c r="U88" s="7">
        <v>50.0</v>
      </c>
      <c r="X88" s="2">
        <f t="shared" si="2"/>
        <v>450</v>
      </c>
    </row>
    <row r="89">
      <c r="A89" s="6" t="s">
        <v>109</v>
      </c>
      <c r="C89" s="7">
        <v>50.0</v>
      </c>
      <c r="E89" s="7">
        <v>50.0</v>
      </c>
      <c r="F89" s="7">
        <v>50.0</v>
      </c>
      <c r="H89" s="7">
        <v>50.0</v>
      </c>
      <c r="J89" s="7">
        <v>50.0</v>
      </c>
      <c r="L89" s="7">
        <v>50.0</v>
      </c>
      <c r="M89" s="7">
        <v>50.0</v>
      </c>
      <c r="O89" s="7">
        <v>50.0</v>
      </c>
      <c r="Q89" s="7">
        <v>50.0</v>
      </c>
      <c r="S89" s="7">
        <v>50.0</v>
      </c>
      <c r="T89" s="7">
        <v>50.0</v>
      </c>
      <c r="V89" s="7">
        <v>50.0</v>
      </c>
      <c r="W89" s="7">
        <v>50.0</v>
      </c>
      <c r="X89" s="2">
        <f t="shared" si="2"/>
        <v>650</v>
      </c>
    </row>
    <row r="90">
      <c r="A90" s="6" t="s">
        <v>110</v>
      </c>
      <c r="C90" s="7">
        <v>50.0</v>
      </c>
      <c r="E90" s="7">
        <v>50.0</v>
      </c>
      <c r="F90" s="7">
        <v>50.0</v>
      </c>
      <c r="N90" s="7">
        <v>50.0</v>
      </c>
      <c r="O90" s="7">
        <v>50.0</v>
      </c>
      <c r="Q90" s="7">
        <v>50.0</v>
      </c>
      <c r="W90" s="7">
        <v>50.0</v>
      </c>
      <c r="X90" s="2">
        <f t="shared" si="2"/>
        <v>350</v>
      </c>
    </row>
    <row r="91">
      <c r="A91" s="6" t="s">
        <v>111</v>
      </c>
      <c r="B91" s="7">
        <v>50.0</v>
      </c>
      <c r="F91" s="7">
        <v>50.0</v>
      </c>
      <c r="K91" s="7">
        <v>50.0</v>
      </c>
      <c r="L91" s="7">
        <v>50.0</v>
      </c>
      <c r="O91" s="7">
        <v>50.0</v>
      </c>
      <c r="Q91" s="10">
        <v>-50.0</v>
      </c>
      <c r="X91" s="2">
        <f t="shared" si="2"/>
        <v>200</v>
      </c>
    </row>
    <row r="92">
      <c r="A92" s="6" t="s">
        <v>112</v>
      </c>
      <c r="C92" s="7">
        <v>50.0</v>
      </c>
      <c r="E92" s="7">
        <v>50.0</v>
      </c>
      <c r="F92" s="7">
        <v>50.0</v>
      </c>
      <c r="K92" s="7">
        <v>50.0</v>
      </c>
      <c r="M92" s="7">
        <v>50.0</v>
      </c>
      <c r="N92" s="7">
        <v>50.0</v>
      </c>
      <c r="O92" s="7">
        <v>50.0</v>
      </c>
      <c r="Q92" s="7">
        <v>50.0</v>
      </c>
      <c r="T92" s="7">
        <v>50.0</v>
      </c>
      <c r="U92" s="7">
        <v>50.0</v>
      </c>
      <c r="X92" s="2">
        <f t="shared" si="2"/>
        <v>500</v>
      </c>
    </row>
    <row r="93">
      <c r="A93" s="6" t="s">
        <v>113</v>
      </c>
      <c r="D93" s="7">
        <v>50.0</v>
      </c>
      <c r="G93" s="7">
        <v>50.0</v>
      </c>
      <c r="H93" s="7">
        <v>50.0</v>
      </c>
      <c r="I93" s="7">
        <v>50.0</v>
      </c>
      <c r="J93" s="7">
        <v>50.0</v>
      </c>
      <c r="K93" s="7">
        <v>50.0</v>
      </c>
      <c r="M93" s="7">
        <v>50.0</v>
      </c>
      <c r="N93" s="7">
        <v>50.0</v>
      </c>
      <c r="O93" s="7">
        <v>50.0</v>
      </c>
      <c r="P93" s="7">
        <v>50.0</v>
      </c>
      <c r="R93" s="7">
        <v>50.0</v>
      </c>
      <c r="S93" s="7">
        <v>50.0</v>
      </c>
      <c r="T93" s="7">
        <v>50.0</v>
      </c>
      <c r="U93" s="7">
        <v>50.0</v>
      </c>
      <c r="V93" s="7">
        <v>50.0</v>
      </c>
      <c r="W93" s="7">
        <v>50.0</v>
      </c>
      <c r="X93" s="2">
        <f t="shared" si="2"/>
        <v>800</v>
      </c>
    </row>
    <row r="94">
      <c r="A94" s="6" t="s">
        <v>114</v>
      </c>
      <c r="B94" s="7">
        <v>50.0</v>
      </c>
      <c r="C94" s="7">
        <v>50.0</v>
      </c>
      <c r="E94" s="7">
        <v>50.0</v>
      </c>
      <c r="H94" s="7">
        <v>50.0</v>
      </c>
      <c r="J94" s="7">
        <v>50.0</v>
      </c>
      <c r="K94" s="7">
        <v>50.0</v>
      </c>
      <c r="L94" s="7">
        <v>50.0</v>
      </c>
      <c r="N94" s="7">
        <v>50.0</v>
      </c>
      <c r="P94" s="7">
        <v>50.0</v>
      </c>
      <c r="Q94" s="7">
        <v>50.0</v>
      </c>
      <c r="R94" s="7">
        <v>50.0</v>
      </c>
      <c r="S94" s="7">
        <v>50.0</v>
      </c>
      <c r="T94" s="7">
        <v>50.0</v>
      </c>
      <c r="U94" s="7">
        <v>50.0</v>
      </c>
      <c r="V94" s="7">
        <v>50.0</v>
      </c>
      <c r="W94" s="7">
        <v>50.0</v>
      </c>
      <c r="X94" s="2">
        <f t="shared" si="2"/>
        <v>800</v>
      </c>
    </row>
    <row r="95">
      <c r="A95" s="6" t="s">
        <v>115</v>
      </c>
      <c r="B95" s="7">
        <v>50.0</v>
      </c>
      <c r="F95" s="7">
        <v>50.0</v>
      </c>
      <c r="G95" s="7">
        <v>50.0</v>
      </c>
      <c r="I95" s="11">
        <v>100.0</v>
      </c>
      <c r="J95" s="7">
        <v>50.0</v>
      </c>
      <c r="P95" s="7">
        <v>50.0</v>
      </c>
      <c r="R95" s="7">
        <v>50.0</v>
      </c>
      <c r="V95" s="11">
        <v>100.0</v>
      </c>
      <c r="X95" s="2">
        <f t="shared" si="2"/>
        <v>500</v>
      </c>
    </row>
    <row r="96">
      <c r="A96" s="6" t="s">
        <v>116</v>
      </c>
      <c r="B96" s="7">
        <v>50.0</v>
      </c>
      <c r="C96" s="7">
        <v>50.0</v>
      </c>
      <c r="D96" s="7">
        <v>50.0</v>
      </c>
      <c r="E96" s="7">
        <v>50.0</v>
      </c>
      <c r="G96" s="7">
        <v>50.0</v>
      </c>
      <c r="I96" s="7">
        <v>50.0</v>
      </c>
      <c r="J96" s="7">
        <v>50.0</v>
      </c>
      <c r="K96" s="7">
        <v>50.0</v>
      </c>
      <c r="L96" s="7">
        <v>50.0</v>
      </c>
      <c r="M96" s="7">
        <v>50.0</v>
      </c>
      <c r="P96" s="7">
        <v>50.0</v>
      </c>
      <c r="Q96" s="7">
        <v>50.0</v>
      </c>
      <c r="R96" s="7">
        <v>50.0</v>
      </c>
      <c r="S96" s="7">
        <v>50.0</v>
      </c>
      <c r="T96" s="7">
        <v>50.0</v>
      </c>
      <c r="V96" s="7">
        <v>50.0</v>
      </c>
      <c r="W96" s="7">
        <v>50.0</v>
      </c>
      <c r="X96" s="2">
        <f t="shared" si="2"/>
        <v>850</v>
      </c>
    </row>
    <row r="97">
      <c r="A97" s="6" t="s">
        <v>117</v>
      </c>
      <c r="D97" s="7">
        <v>50.0</v>
      </c>
      <c r="F97" s="7">
        <v>50.0</v>
      </c>
      <c r="I97" s="7">
        <v>50.0</v>
      </c>
      <c r="J97" s="7">
        <v>50.0</v>
      </c>
      <c r="K97" s="7">
        <v>50.0</v>
      </c>
      <c r="L97" s="7">
        <v>50.0</v>
      </c>
      <c r="M97" s="7">
        <v>50.0</v>
      </c>
      <c r="N97" s="7">
        <v>50.0</v>
      </c>
      <c r="O97" s="7">
        <v>50.0</v>
      </c>
      <c r="P97" s="7">
        <v>50.0</v>
      </c>
      <c r="T97" s="7">
        <v>50.0</v>
      </c>
      <c r="U97" s="7">
        <v>50.0</v>
      </c>
      <c r="V97" s="7">
        <v>50.0</v>
      </c>
      <c r="W97" s="7">
        <v>50.0</v>
      </c>
      <c r="X97" s="2">
        <f t="shared" si="2"/>
        <v>700</v>
      </c>
    </row>
    <row r="98">
      <c r="A98" s="6" t="s">
        <v>118</v>
      </c>
      <c r="G98" s="7">
        <v>50.0</v>
      </c>
      <c r="L98" s="7">
        <v>50.0</v>
      </c>
      <c r="O98" s="7">
        <v>50.0</v>
      </c>
      <c r="P98" s="7">
        <v>50.0</v>
      </c>
      <c r="R98" s="7">
        <v>50.0</v>
      </c>
      <c r="S98" s="7">
        <v>50.0</v>
      </c>
      <c r="W98" s="7">
        <v>50.0</v>
      </c>
      <c r="X98" s="2">
        <f t="shared" si="2"/>
        <v>350</v>
      </c>
    </row>
    <row r="99">
      <c r="A99" s="6" t="s">
        <v>119</v>
      </c>
      <c r="B99" s="7">
        <v>50.0</v>
      </c>
      <c r="C99" s="7">
        <v>50.0</v>
      </c>
      <c r="D99" s="7">
        <v>50.0</v>
      </c>
      <c r="E99" s="7">
        <v>50.0</v>
      </c>
      <c r="I99" s="7">
        <v>50.0</v>
      </c>
      <c r="J99" s="7">
        <v>50.0</v>
      </c>
      <c r="K99" s="7">
        <v>50.0</v>
      </c>
      <c r="L99" s="7">
        <v>50.0</v>
      </c>
      <c r="M99" s="7">
        <v>50.0</v>
      </c>
      <c r="P99" s="7">
        <v>50.0</v>
      </c>
      <c r="Q99" s="7">
        <v>50.0</v>
      </c>
      <c r="R99" s="7">
        <v>50.0</v>
      </c>
      <c r="T99" s="7">
        <v>50.0</v>
      </c>
      <c r="U99" s="7">
        <v>50.0</v>
      </c>
      <c r="V99" s="7">
        <v>50.0</v>
      </c>
      <c r="X99" s="2">
        <f t="shared" si="2"/>
        <v>750</v>
      </c>
    </row>
    <row r="100">
      <c r="A100" s="6" t="s">
        <v>120</v>
      </c>
      <c r="B100" s="7">
        <v>50.0</v>
      </c>
      <c r="E100" s="7">
        <v>50.0</v>
      </c>
      <c r="J100" s="7">
        <v>50.0</v>
      </c>
      <c r="L100" s="7">
        <v>50.0</v>
      </c>
      <c r="P100" s="7">
        <v>50.0</v>
      </c>
      <c r="R100" s="7">
        <v>50.0</v>
      </c>
      <c r="U100" s="7">
        <v>50.0</v>
      </c>
      <c r="X100" s="2">
        <f t="shared" si="2"/>
        <v>350</v>
      </c>
    </row>
    <row r="101">
      <c r="A101" s="6" t="s">
        <v>121</v>
      </c>
      <c r="C101" s="7">
        <v>50.0</v>
      </c>
      <c r="F101" s="12">
        <v>100.0</v>
      </c>
      <c r="G101" s="12">
        <v>100.0</v>
      </c>
      <c r="J101" s="7">
        <v>50.0</v>
      </c>
      <c r="M101" s="7">
        <v>50.0</v>
      </c>
      <c r="O101" s="7">
        <v>50.0</v>
      </c>
      <c r="P101" s="7">
        <v>50.0</v>
      </c>
      <c r="Q101" s="7">
        <v>50.0</v>
      </c>
      <c r="S101" s="7">
        <v>50.0</v>
      </c>
      <c r="U101" s="13">
        <v>-50.0</v>
      </c>
      <c r="W101" s="7">
        <v>50.0</v>
      </c>
      <c r="X101" s="2">
        <f t="shared" si="2"/>
        <v>550</v>
      </c>
    </row>
    <row r="102">
      <c r="A102" s="6" t="s">
        <v>122</v>
      </c>
      <c r="C102" s="12">
        <v>100.0</v>
      </c>
      <c r="D102" s="7">
        <v>50.0</v>
      </c>
      <c r="F102" s="12">
        <v>100.0</v>
      </c>
      <c r="H102" s="12">
        <v>100.0</v>
      </c>
      <c r="I102" s="12">
        <v>100.0</v>
      </c>
      <c r="J102" s="7">
        <v>50.0</v>
      </c>
      <c r="K102" s="12">
        <v>100.0</v>
      </c>
      <c r="M102" s="12">
        <v>100.0</v>
      </c>
      <c r="N102" s="12">
        <v>100.0</v>
      </c>
      <c r="O102" s="7">
        <v>50.0</v>
      </c>
      <c r="P102" s="7">
        <v>50.0</v>
      </c>
      <c r="Q102" s="12">
        <v>100.0</v>
      </c>
      <c r="R102" s="12">
        <v>100.0</v>
      </c>
      <c r="S102" s="7">
        <v>50.0</v>
      </c>
      <c r="T102" s="7">
        <v>50.0</v>
      </c>
      <c r="U102" s="13">
        <v>-50.0</v>
      </c>
      <c r="V102" s="12">
        <v>100.0</v>
      </c>
      <c r="W102" s="7">
        <v>50.0</v>
      </c>
      <c r="X102" s="2">
        <f t="shared" si="2"/>
        <v>1300</v>
      </c>
    </row>
    <row r="103">
      <c r="A103" s="6" t="s">
        <v>123</v>
      </c>
      <c r="E103" s="7">
        <v>50.0</v>
      </c>
      <c r="G103" s="13">
        <v>-50.0</v>
      </c>
      <c r="J103" s="7">
        <v>50.0</v>
      </c>
      <c r="K103" s="7">
        <v>50.0</v>
      </c>
      <c r="L103" s="7">
        <v>50.0</v>
      </c>
      <c r="N103" s="7">
        <v>50.0</v>
      </c>
      <c r="P103" s="7">
        <v>50.0</v>
      </c>
      <c r="R103" s="7">
        <v>50.0</v>
      </c>
      <c r="S103" s="7">
        <v>50.0</v>
      </c>
      <c r="X103" s="2">
        <f t="shared" si="2"/>
        <v>350</v>
      </c>
    </row>
    <row r="104">
      <c r="A104" s="6" t="s">
        <v>124</v>
      </c>
      <c r="B104" s="7">
        <v>50.0</v>
      </c>
      <c r="C104" s="7">
        <v>50.0</v>
      </c>
      <c r="E104" s="7">
        <v>50.0</v>
      </c>
      <c r="G104" s="12">
        <v>100.0</v>
      </c>
      <c r="I104" s="7">
        <v>50.0</v>
      </c>
      <c r="J104" s="7">
        <v>50.0</v>
      </c>
      <c r="K104" s="7">
        <v>50.0</v>
      </c>
      <c r="L104" s="7">
        <v>50.0</v>
      </c>
      <c r="N104" s="7">
        <v>50.0</v>
      </c>
      <c r="P104" s="7">
        <v>50.0</v>
      </c>
      <c r="Q104" s="12">
        <v>100.0</v>
      </c>
      <c r="S104" s="7">
        <v>50.0</v>
      </c>
      <c r="T104" s="7">
        <v>50.0</v>
      </c>
      <c r="U104" s="14">
        <v>1130.0</v>
      </c>
      <c r="V104" s="12">
        <v>100.0</v>
      </c>
      <c r="X104" s="2">
        <f t="shared" si="2"/>
        <v>1980</v>
      </c>
    </row>
    <row r="105">
      <c r="A105" s="6" t="s">
        <v>125</v>
      </c>
      <c r="D105" s="7">
        <v>50.0</v>
      </c>
      <c r="H105" s="12">
        <v>100.0</v>
      </c>
      <c r="I105" s="12">
        <v>100.0</v>
      </c>
      <c r="J105" s="7">
        <v>50.0</v>
      </c>
      <c r="L105" s="12">
        <v>100.0</v>
      </c>
      <c r="N105" s="12">
        <v>100.0</v>
      </c>
      <c r="P105" s="12">
        <v>100.0</v>
      </c>
      <c r="R105" s="7">
        <v>50.0</v>
      </c>
      <c r="S105" s="7">
        <v>50.0</v>
      </c>
      <c r="T105" s="7">
        <v>50.0</v>
      </c>
      <c r="V105" s="7">
        <v>50.0</v>
      </c>
      <c r="W105" s="7">
        <v>50.0</v>
      </c>
      <c r="X105" s="2">
        <f t="shared" si="2"/>
        <v>850</v>
      </c>
    </row>
    <row r="106">
      <c r="A106" s="6" t="s">
        <v>126</v>
      </c>
      <c r="D106" s="7">
        <v>100.0</v>
      </c>
      <c r="E106" s="7">
        <v>100.0</v>
      </c>
      <c r="F106" s="14">
        <v>-1850.0</v>
      </c>
      <c r="G106" s="7">
        <v>100.0</v>
      </c>
      <c r="H106" s="13">
        <v>-100.0</v>
      </c>
      <c r="I106" s="7">
        <v>100.0</v>
      </c>
      <c r="J106" s="7">
        <v>100.0</v>
      </c>
      <c r="K106" s="7">
        <v>100.0</v>
      </c>
      <c r="L106" s="7">
        <v>100.0</v>
      </c>
      <c r="N106" s="7">
        <v>100.0</v>
      </c>
      <c r="O106" s="7">
        <v>100.0</v>
      </c>
      <c r="P106" s="13">
        <v>-100.0</v>
      </c>
      <c r="R106" s="12">
        <v>200.0</v>
      </c>
      <c r="S106" s="12">
        <v>200.0</v>
      </c>
      <c r="V106" s="7">
        <v>100.0</v>
      </c>
      <c r="W106" s="7">
        <v>100.0</v>
      </c>
      <c r="X106" s="2">
        <f t="shared" si="2"/>
        <v>-550</v>
      </c>
    </row>
    <row r="107">
      <c r="A107" s="1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20.88"/>
    <col customWidth="1" min="3" max="3" width="13.5"/>
  </cols>
  <sheetData>
    <row r="1">
      <c r="A1" s="16" t="s">
        <v>127</v>
      </c>
      <c r="B1" s="16" t="s">
        <v>128</v>
      </c>
      <c r="C1" s="16"/>
    </row>
    <row r="2">
      <c r="A2" s="17" t="str">
        <f t="array" ref="A2:B23">SORT(
TRANSPOSE({Detail!B2:W2;Detail!B1:W1}),
2,
FALSE
)</f>
        <v>Chính Đạt</v>
      </c>
      <c r="B2" s="17">
        <v>2260.0</v>
      </c>
      <c r="C2" s="17">
        <f t="shared" ref="C2:C22" si="1">B2-1000</f>
        <v>1260</v>
      </c>
    </row>
    <row r="3">
      <c r="A3" s="17" t="s">
        <v>10</v>
      </c>
      <c r="B3" s="17">
        <v>1770.0</v>
      </c>
      <c r="C3" s="17">
        <f t="shared" si="1"/>
        <v>770</v>
      </c>
    </row>
    <row r="4">
      <c r="A4" s="17" t="s">
        <v>16</v>
      </c>
      <c r="B4" s="17">
        <v>1760.0</v>
      </c>
      <c r="C4" s="17">
        <f t="shared" si="1"/>
        <v>760</v>
      </c>
    </row>
    <row r="5">
      <c r="A5" s="17" t="s">
        <v>20</v>
      </c>
      <c r="B5" s="17">
        <v>1760.0</v>
      </c>
      <c r="C5" s="17">
        <f t="shared" si="1"/>
        <v>760</v>
      </c>
    </row>
    <row r="6">
      <c r="A6" s="17" t="s">
        <v>21</v>
      </c>
      <c r="B6" s="17">
        <v>1750.0</v>
      </c>
      <c r="C6" s="17">
        <f t="shared" si="1"/>
        <v>750</v>
      </c>
    </row>
    <row r="7">
      <c r="A7" s="17" t="s">
        <v>8</v>
      </c>
      <c r="B7" s="17">
        <v>1680.0</v>
      </c>
      <c r="C7" s="17">
        <f t="shared" si="1"/>
        <v>680</v>
      </c>
    </row>
    <row r="8">
      <c r="A8" s="17" t="s">
        <v>12</v>
      </c>
      <c r="B8" s="17">
        <v>1680.0</v>
      </c>
      <c r="C8" s="17">
        <f t="shared" si="1"/>
        <v>680</v>
      </c>
    </row>
    <row r="9">
      <c r="A9" s="17" t="s">
        <v>0</v>
      </c>
      <c r="B9" s="17">
        <v>1670.0</v>
      </c>
      <c r="C9" s="17">
        <f t="shared" si="1"/>
        <v>670</v>
      </c>
    </row>
    <row r="10">
      <c r="A10" s="17" t="s">
        <v>13</v>
      </c>
      <c r="B10" s="17">
        <v>1660.0</v>
      </c>
      <c r="C10" s="17">
        <f t="shared" si="1"/>
        <v>660</v>
      </c>
    </row>
    <row r="11">
      <c r="A11" s="17" t="s">
        <v>5</v>
      </c>
      <c r="B11" s="17">
        <v>1640.0</v>
      </c>
      <c r="C11" s="17">
        <f t="shared" si="1"/>
        <v>640</v>
      </c>
    </row>
    <row r="12">
      <c r="A12" s="17" t="s">
        <v>9</v>
      </c>
      <c r="B12" s="17">
        <v>1620.0</v>
      </c>
      <c r="C12" s="17">
        <f t="shared" si="1"/>
        <v>620</v>
      </c>
    </row>
    <row r="13">
      <c r="A13" s="17" t="s">
        <v>14</v>
      </c>
      <c r="B13" s="17">
        <v>1600.0</v>
      </c>
      <c r="C13" s="17">
        <f t="shared" si="1"/>
        <v>600</v>
      </c>
    </row>
    <row r="14">
      <c r="A14" s="17" t="s">
        <v>17</v>
      </c>
      <c r="B14" s="17">
        <v>1600.0</v>
      </c>
      <c r="C14" s="17">
        <f t="shared" si="1"/>
        <v>600</v>
      </c>
    </row>
    <row r="15">
      <c r="A15" s="17" t="s">
        <v>18</v>
      </c>
      <c r="B15" s="17">
        <v>1540.0</v>
      </c>
      <c r="C15" s="17">
        <f t="shared" si="1"/>
        <v>540</v>
      </c>
    </row>
    <row r="16">
      <c r="A16" s="17" t="s">
        <v>2</v>
      </c>
      <c r="B16" s="17">
        <v>1510.0</v>
      </c>
      <c r="C16" s="17">
        <f t="shared" si="1"/>
        <v>510</v>
      </c>
    </row>
    <row r="17">
      <c r="A17" s="17" t="s">
        <v>3</v>
      </c>
      <c r="B17" s="17">
        <v>1500.0</v>
      </c>
      <c r="C17" s="17">
        <f t="shared" si="1"/>
        <v>500</v>
      </c>
    </row>
    <row r="18">
      <c r="A18" s="17" t="s">
        <v>7</v>
      </c>
      <c r="B18" s="17">
        <v>1500.0</v>
      </c>
      <c r="C18" s="17">
        <f t="shared" si="1"/>
        <v>500</v>
      </c>
    </row>
    <row r="19">
      <c r="A19" s="17" t="s">
        <v>11</v>
      </c>
      <c r="B19" s="17">
        <v>1500.0</v>
      </c>
      <c r="C19" s="17">
        <f t="shared" si="1"/>
        <v>500</v>
      </c>
    </row>
    <row r="20">
      <c r="A20" s="17" t="s">
        <v>1</v>
      </c>
      <c r="B20" s="17">
        <v>1400.0</v>
      </c>
      <c r="C20" s="17">
        <f t="shared" si="1"/>
        <v>400</v>
      </c>
    </row>
    <row r="21">
      <c r="A21" s="17" t="s">
        <v>15</v>
      </c>
      <c r="B21" s="17">
        <v>1340.0</v>
      </c>
      <c r="C21" s="17">
        <f t="shared" si="1"/>
        <v>340</v>
      </c>
    </row>
    <row r="22">
      <c r="A22" s="17" t="s">
        <v>6</v>
      </c>
      <c r="B22" s="17">
        <v>1290.0</v>
      </c>
      <c r="C22" s="17">
        <f t="shared" si="1"/>
        <v>290</v>
      </c>
    </row>
    <row r="23">
      <c r="A23" s="17" t="s">
        <v>4</v>
      </c>
      <c r="B23" s="18">
        <v>0.0</v>
      </c>
      <c r="C23" s="17"/>
      <c r="D23" s="7" t="s">
        <v>129</v>
      </c>
    </row>
    <row r="24">
      <c r="A24" s="19"/>
      <c r="B24" s="17"/>
    </row>
    <row r="25">
      <c r="A25" s="20" t="s">
        <v>130</v>
      </c>
      <c r="B25" s="21">
        <f>SUM(B2:B23)</f>
        <v>34030</v>
      </c>
      <c r="C25" s="2">
        <f>sum(C2:C23)</f>
        <v>13030</v>
      </c>
    </row>
    <row r="26">
      <c r="A26" s="20" t="s">
        <v>131</v>
      </c>
      <c r="B26" s="21">
        <f>ROUND(B25/21,0)</f>
        <v>1620</v>
      </c>
      <c r="C26" s="2">
        <f>C25/22</f>
        <v>592.2727273</v>
      </c>
    </row>
    <row r="27">
      <c r="A27" s="20"/>
      <c r="B27" s="22"/>
    </row>
    <row r="28">
      <c r="A28" s="20"/>
      <c r="B28" s="23"/>
    </row>
    <row r="29">
      <c r="A29" s="17"/>
    </row>
    <row r="30">
      <c r="A3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>
        <v>46207.0</v>
      </c>
      <c r="B1" s="19" t="s">
        <v>15</v>
      </c>
      <c r="C1" s="19">
        <v>1.0</v>
      </c>
      <c r="D1" s="19" t="s">
        <v>132</v>
      </c>
    </row>
    <row r="2">
      <c r="A2" s="24">
        <v>46209.0</v>
      </c>
      <c r="B2" s="19" t="s">
        <v>7</v>
      </c>
      <c r="C2" s="19">
        <v>1.0</v>
      </c>
      <c r="D2" s="19" t="s">
        <v>133</v>
      </c>
    </row>
    <row r="3">
      <c r="A3" s="24">
        <v>46209.0</v>
      </c>
      <c r="B3" s="19" t="s">
        <v>20</v>
      </c>
      <c r="C3" s="19">
        <v>1.0</v>
      </c>
      <c r="D3" s="19" t="s">
        <v>133</v>
      </c>
    </row>
    <row r="4">
      <c r="A4" s="24">
        <v>46214.0</v>
      </c>
      <c r="B4" s="19" t="s">
        <v>4</v>
      </c>
      <c r="C4" s="19">
        <v>1.0</v>
      </c>
      <c r="D4" s="19" t="s">
        <v>134</v>
      </c>
    </row>
    <row r="5">
      <c r="A5" s="24">
        <v>46214.0</v>
      </c>
      <c r="B5" s="19" t="s">
        <v>5</v>
      </c>
      <c r="C5" s="19">
        <v>1.0</v>
      </c>
      <c r="D5" s="19" t="s">
        <v>134</v>
      </c>
    </row>
    <row r="6">
      <c r="A6" s="24">
        <v>46214.0</v>
      </c>
      <c r="B6" s="19" t="s">
        <v>19</v>
      </c>
      <c r="C6" s="19">
        <v>1.0</v>
      </c>
      <c r="D6" s="19" t="s">
        <v>135</v>
      </c>
    </row>
    <row r="7">
      <c r="A7" s="24">
        <v>46214.0</v>
      </c>
      <c r="B7" s="19" t="s">
        <v>19</v>
      </c>
      <c r="C7" s="19">
        <v>1.0</v>
      </c>
      <c r="D7" s="19" t="s">
        <v>136</v>
      </c>
    </row>
    <row r="8">
      <c r="A8" s="24">
        <v>46214.0</v>
      </c>
      <c r="B8" s="19" t="s">
        <v>20</v>
      </c>
      <c r="C8" s="19">
        <v>1.0</v>
      </c>
      <c r="D8" s="19" t="s">
        <v>137</v>
      </c>
    </row>
    <row r="9">
      <c r="A9" s="24">
        <v>46214.0</v>
      </c>
      <c r="B9" s="19" t="s">
        <v>15</v>
      </c>
      <c r="C9" s="19">
        <v>1.0</v>
      </c>
      <c r="D9" s="19" t="s">
        <v>137</v>
      </c>
    </row>
    <row r="10">
      <c r="A10" s="24">
        <v>46214.0</v>
      </c>
      <c r="B10" s="19" t="s">
        <v>7</v>
      </c>
      <c r="C10" s="19">
        <v>1.0</v>
      </c>
      <c r="D10" s="19" t="s">
        <v>137</v>
      </c>
    </row>
    <row r="11">
      <c r="A11" s="24">
        <v>46214.0</v>
      </c>
      <c r="B11" s="19" t="s">
        <v>1</v>
      </c>
      <c r="C11" s="19">
        <v>1.0</v>
      </c>
      <c r="D11" s="19" t="s">
        <v>137</v>
      </c>
    </row>
    <row r="12">
      <c r="A12" s="24">
        <v>46214.0</v>
      </c>
      <c r="B12" s="19" t="s">
        <v>6</v>
      </c>
      <c r="C12" s="19">
        <v>1.0</v>
      </c>
      <c r="D12" s="19" t="s">
        <v>137</v>
      </c>
    </row>
    <row r="13">
      <c r="A13" s="24">
        <v>46214.0</v>
      </c>
      <c r="B13" s="19" t="s">
        <v>9</v>
      </c>
      <c r="C13" s="19">
        <v>1.0</v>
      </c>
      <c r="D13" s="19" t="s">
        <v>137</v>
      </c>
    </row>
    <row r="14">
      <c r="A14" s="24">
        <v>46214.0</v>
      </c>
      <c r="B14" s="19" t="s">
        <v>11</v>
      </c>
      <c r="C14" s="19">
        <v>1.0</v>
      </c>
      <c r="D14" s="19" t="s">
        <v>137</v>
      </c>
    </row>
    <row r="15">
      <c r="A15" s="24">
        <v>46214.0</v>
      </c>
      <c r="B15" s="19" t="s">
        <v>16</v>
      </c>
      <c r="C15" s="19">
        <v>1.0</v>
      </c>
      <c r="D15" s="19" t="s">
        <v>137</v>
      </c>
    </row>
    <row r="16">
      <c r="A16" s="24">
        <v>46214.0</v>
      </c>
      <c r="B16" s="19" t="s">
        <v>12</v>
      </c>
      <c r="C16" s="19">
        <v>1.0</v>
      </c>
      <c r="D16" s="19" t="s">
        <v>137</v>
      </c>
    </row>
    <row r="17">
      <c r="A17" s="24">
        <v>46214.0</v>
      </c>
      <c r="B17" s="19" t="s">
        <v>4</v>
      </c>
      <c r="C17" s="19">
        <v>1.0</v>
      </c>
      <c r="D17" s="19" t="s">
        <v>137</v>
      </c>
    </row>
    <row r="18">
      <c r="A18" s="24">
        <v>46217.0</v>
      </c>
      <c r="B18" s="19" t="s">
        <v>138</v>
      </c>
      <c r="C18" s="19">
        <v>1.0</v>
      </c>
      <c r="D18" s="19" t="s">
        <v>139</v>
      </c>
    </row>
    <row r="19">
      <c r="A19" s="24">
        <v>46218.0</v>
      </c>
      <c r="B19" s="19" t="s">
        <v>5</v>
      </c>
      <c r="C19" s="19">
        <v>1.0</v>
      </c>
      <c r="D19" s="19" t="s">
        <v>134</v>
      </c>
    </row>
    <row r="20">
      <c r="A20" s="24">
        <v>46218.0</v>
      </c>
      <c r="B20" s="19" t="s">
        <v>15</v>
      </c>
      <c r="C20" s="19">
        <v>1.0</v>
      </c>
      <c r="D20" s="19" t="s">
        <v>134</v>
      </c>
    </row>
    <row r="21">
      <c r="A21" s="24">
        <v>46218.0</v>
      </c>
      <c r="B21" s="19" t="s">
        <v>20</v>
      </c>
      <c r="C21" s="19">
        <v>1.0</v>
      </c>
      <c r="D21" s="19" t="s">
        <v>134</v>
      </c>
    </row>
    <row r="22">
      <c r="A22" s="24">
        <v>46222.0</v>
      </c>
      <c r="B22" s="19" t="s">
        <v>14</v>
      </c>
      <c r="C22" s="19">
        <v>1.0</v>
      </c>
      <c r="D22" s="19" t="s">
        <v>140</v>
      </c>
    </row>
    <row r="23">
      <c r="A23" s="24">
        <v>46222.0</v>
      </c>
      <c r="B23" s="19" t="s">
        <v>12</v>
      </c>
      <c r="C23" s="19">
        <v>1.0</v>
      </c>
      <c r="D23" s="19" t="s">
        <v>140</v>
      </c>
    </row>
    <row r="24">
      <c r="A24" s="24">
        <v>46222.0</v>
      </c>
      <c r="B24" s="19" t="s">
        <v>10</v>
      </c>
      <c r="C24" s="19">
        <v>1.0</v>
      </c>
      <c r="D24" s="19" t="s">
        <v>140</v>
      </c>
    </row>
    <row r="25">
      <c r="A25" s="24">
        <v>46222.0</v>
      </c>
      <c r="B25" s="19" t="s">
        <v>6</v>
      </c>
      <c r="C25" s="19">
        <v>1.0</v>
      </c>
      <c r="D25" s="19" t="s">
        <v>140</v>
      </c>
    </row>
    <row r="26">
      <c r="A26" s="24">
        <v>46222.0</v>
      </c>
      <c r="B26" s="19" t="s">
        <v>7</v>
      </c>
      <c r="C26" s="19">
        <v>1.0</v>
      </c>
      <c r="D26" s="19" t="s">
        <v>140</v>
      </c>
    </row>
    <row r="27">
      <c r="A27" s="24">
        <v>46223.0</v>
      </c>
      <c r="B27" s="19" t="s">
        <v>14</v>
      </c>
      <c r="C27" s="19">
        <v>1.0</v>
      </c>
      <c r="D27" s="19" t="s">
        <v>137</v>
      </c>
    </row>
    <row r="28">
      <c r="A28" s="24">
        <v>46223.0</v>
      </c>
      <c r="B28" s="19" t="s">
        <v>6</v>
      </c>
      <c r="C28" s="19">
        <v>1.0</v>
      </c>
      <c r="D28" s="19" t="s">
        <v>137</v>
      </c>
    </row>
    <row r="29">
      <c r="A29" s="24">
        <v>46223.0</v>
      </c>
      <c r="B29" s="19" t="s">
        <v>16</v>
      </c>
      <c r="C29" s="19">
        <v>1.0</v>
      </c>
      <c r="D29" s="19" t="s">
        <v>139</v>
      </c>
    </row>
    <row r="30">
      <c r="A30" s="24">
        <v>46223.0</v>
      </c>
      <c r="B30" s="19" t="s">
        <v>17</v>
      </c>
      <c r="C30" s="19">
        <v>1.0</v>
      </c>
      <c r="D30" s="19" t="s">
        <v>139</v>
      </c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</sheetData>
  <drawing r:id="rId1"/>
</worksheet>
</file>