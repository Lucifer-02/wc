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<sst xmlns="http://schemas.openxmlformats.org/spreadsheetml/2006/main" count="123" uniqueCount="102">
  <si>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</si>
  <si>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</si>
  <si>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</si>
  <si>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</si>
  <si>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</si>
  <si>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</si>
  <si>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</si>
  <si>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</si>
  <si>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</si>
  <si>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</si>
  <si>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</si>
  <si>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</si>
  <si>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</si>
  <si>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</si>
  <si>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</si>
  <si>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</si>
  <si>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</si>
  <si>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</si>
  <si>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</si>
  <si>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</si>
  <si>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</si>
  <si>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</si>
  <si>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</si>
  <si>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</si>
  <si>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</si>
  <si>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</si>
  <si>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</si>
  <si>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</si>
  <si>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</si>
  <si>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</si>
  <si>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</si>
  <si>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</si>
  <si>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</si>
  <si>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</si>
  <si>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</si>
  <si>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</si>
  <si>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</si>
  <si>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</si>
  <si>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</si>
  <si>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</si>
  <si>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</si>
  <si>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</si>
  <si>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</si>
  <si>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</si>
  <si>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</si>
  <si>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</si>
  <si>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</si>
  <si>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</si>
  <si>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</si>
  <si>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</si>
  <si>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</si>
  <si>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</si>
  <si>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</si>
  <si>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</si>
  <si>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</si>
  <si>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</si>
  <si>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</si>
  <si>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</si>
  <si>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</si>
  <si>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</si>
  <si>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</si>
  <si>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</si>
  <si>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</si>
  <si>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</si>
  <si>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</si>
  <si>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</si>
  <si>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</si>
  <si>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</si>
  <si>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</si>
  <si>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</si>
  <si>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</si>
  <si>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</si>
  <si>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</si>
  <si>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</si>
  <si>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</si>
  <si>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</si>
  <si>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</si>
  <si>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</si>
  <si>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</si>
  <si>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</si>
  <si>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</si>
  <si>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</si>
  <si>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</si>
  <si>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</si>
  <si>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</si>
  <si>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</si>
  <si>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</si>
  <si>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</si>
  <si>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</si>
  <si>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</si>
  <si>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</si>
  <si>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</si>
  <si>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</si>
  <si>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</si>
  <si>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</si>
  <si>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</si>
  <si>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t>Vua đóng góp</t>
  </si>
  <si>
    <t>Góp gạo</t>
  </si>
  <si>
    <t>Ngôi sao hi vọng</t>
  </si>
  <si>
    <t>SUM</t>
  </si>
  <si>
    <t>AVG/người</t>
  </si>
  <si>
    <t>AVG/trận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</si>
</sst>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870</v>
      </c>
      <c r="C1" s="1">
        <f t="shared" si="1"/>
        <v>700</v>
      </c>
      <c r="D1" s="1">
        <f t="shared" si="1"/>
        <v>860</v>
      </c>
      <c r="E1" s="1">
        <f t="shared" si="1"/>
        <v>700</v>
      </c>
      <c r="F1" s="1">
        <f t="shared" si="1"/>
        <v>900</v>
      </c>
      <c r="G1" s="1">
        <f t="shared" si="1"/>
        <v>840</v>
      </c>
      <c r="H1" s="1">
        <f t="shared" si="1"/>
        <v>740</v>
      </c>
      <c r="I1" s="1">
        <f t="shared" si="1"/>
        <v>600</v>
      </c>
      <c r="J1" s="1">
        <f t="shared" si="1"/>
        <v>680</v>
      </c>
      <c r="K1" s="1">
        <f t="shared" si="1"/>
        <v>720</v>
      </c>
      <c r="L1" s="1">
        <f t="shared" si="1"/>
        <v>920</v>
      </c>
      <c r="M1" s="1">
        <f t="shared" si="1"/>
        <v>800</v>
      </c>
      <c r="N1" s="1">
        <f t="shared" si="1"/>
        <v>780</v>
      </c>
      <c r="O1" s="1">
        <f t="shared" si="1"/>
        <v>810</v>
      </c>
      <c r="P1" s="1">
        <f t="shared" si="1"/>
        <v>850</v>
      </c>
      <c r="Q1" s="1">
        <f t="shared" si="1"/>
        <v>640</v>
      </c>
      <c r="R1" s="1">
        <f t="shared" si="1"/>
        <v>760</v>
      </c>
      <c r="S1" s="1">
        <f t="shared" si="1"/>
        <v>700</v>
      </c>
      <c r="T1" s="1">
        <f t="shared" si="1"/>
        <v>840</v>
      </c>
      <c r="U1" s="1">
        <f t="shared" si="1"/>
        <v>780</v>
      </c>
      <c r="V1" s="1">
        <f t="shared" si="1"/>
        <v>860</v>
      </c>
      <c r="W1" s="1">
        <f t="shared" si="1"/>
        <v>800</v>
      </c>
      <c r="X1" s="2">
        <f>COUNTIF(X3:X130,"&gt;0")</f>
        <v>73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96</v>
      </c>
      <c r="B1" s="11" t="s">
        <v>97</v>
      </c>
      <c r="C1" s="11" t="s">
        <v>98</v>
      </c>
    </row>
    <row r="2">
      <c r="A2" s="12" t="str">
        <f t="array" ref="A2:B23">SORT(
TRANSPOSE({Detail!B2:W2;Detail!B1:W1}),
2,
FALSE
)</f>
        <v>Trung Ngôn</v>
      </c>
      <c r="B2" s="2">
        <v>920.0</v>
      </c>
    </row>
    <row r="3">
      <c r="A3" s="12" t="s">
        <v>4</v>
      </c>
      <c r="B3" s="2">
        <v>900.0</v>
      </c>
    </row>
    <row r="4">
      <c r="A4" s="12" t="s">
        <v>0</v>
      </c>
      <c r="B4" s="2">
        <v>870.0</v>
      </c>
    </row>
    <row r="5">
      <c r="A5" s="12" t="s">
        <v>2</v>
      </c>
      <c r="B5" s="2">
        <v>860.0</v>
      </c>
    </row>
    <row r="6">
      <c r="A6" s="12" t="s">
        <v>20</v>
      </c>
      <c r="B6" s="2">
        <v>860.0</v>
      </c>
    </row>
    <row r="7">
      <c r="A7" s="12" t="s">
        <v>14</v>
      </c>
      <c r="B7" s="2">
        <v>850.0</v>
      </c>
    </row>
    <row r="8">
      <c r="A8" s="12" t="s">
        <v>5</v>
      </c>
      <c r="B8" s="2">
        <v>840.0</v>
      </c>
    </row>
    <row r="9">
      <c r="A9" s="12" t="s">
        <v>18</v>
      </c>
      <c r="B9" s="2">
        <v>840.0</v>
      </c>
    </row>
    <row r="10">
      <c r="A10" s="12" t="s">
        <v>13</v>
      </c>
      <c r="B10" s="2">
        <v>810.0</v>
      </c>
    </row>
    <row r="11">
      <c r="A11" s="12" t="s">
        <v>11</v>
      </c>
      <c r="B11" s="2">
        <v>800.0</v>
      </c>
    </row>
    <row r="12">
      <c r="A12" s="12" t="s">
        <v>21</v>
      </c>
      <c r="B12" s="2">
        <v>800.0</v>
      </c>
    </row>
    <row r="13">
      <c r="A13" s="12" t="s">
        <v>12</v>
      </c>
      <c r="B13" s="2">
        <v>780.0</v>
      </c>
    </row>
    <row r="14">
      <c r="A14" s="12" t="s">
        <v>19</v>
      </c>
      <c r="B14" s="2">
        <v>780.0</v>
      </c>
    </row>
    <row r="15">
      <c r="A15" s="12" t="s">
        <v>16</v>
      </c>
      <c r="B15" s="2">
        <v>760.0</v>
      </c>
    </row>
    <row r="16">
      <c r="A16" s="12" t="s">
        <v>6</v>
      </c>
      <c r="B16" s="2">
        <v>740.0</v>
      </c>
    </row>
    <row r="17">
      <c r="A17" s="12" t="s">
        <v>9</v>
      </c>
      <c r="B17" s="2">
        <v>720.0</v>
      </c>
    </row>
    <row r="18">
      <c r="A18" s="12" t="s">
        <v>1</v>
      </c>
      <c r="B18" s="2">
        <v>700.0</v>
      </c>
    </row>
    <row r="19">
      <c r="A19" s="12" t="s">
        <v>3</v>
      </c>
      <c r="B19" s="2">
        <v>700.0</v>
      </c>
    </row>
    <row r="20">
      <c r="A20" s="12" t="s">
        <v>17</v>
      </c>
      <c r="B20" s="2">
        <v>700.0</v>
      </c>
    </row>
    <row r="21">
      <c r="A21" s="12" t="s">
        <v>8</v>
      </c>
      <c r="B21" s="2">
        <v>680.0</v>
      </c>
    </row>
    <row r="22">
      <c r="A22" s="12" t="s">
        <v>15</v>
      </c>
      <c r="B22" s="2">
        <v>640.0</v>
      </c>
    </row>
    <row r="23">
      <c r="A23" s="12" t="s">
        <v>7</v>
      </c>
      <c r="B23" s="2">
        <v>600.0</v>
      </c>
    </row>
    <row r="24">
      <c r="A24" s="13"/>
    </row>
    <row r="25">
      <c r="A25" s="14" t="s">
        <v>99</v>
      </c>
      <c r="B25" s="15">
        <f>SUM(B2:B23)</f>
        <v>17150</v>
      </c>
    </row>
    <row r="26">
      <c r="A26" s="14" t="s">
        <v>100</v>
      </c>
      <c r="B26" s="15">
        <f>ROUND(B25/22,0)</f>
        <v>780</v>
      </c>
    </row>
    <row r="27">
      <c r="A27" s="14" t="s">
        <v>101</v>
      </c>
      <c r="B27" s="16">
        <f>Round(B25/(Detail!X1),0)</f>
        <v>235</v>
      </c>
    </row>
    <row r="28">
      <c r="A28" s="14"/>
      <c r="B28" s="15"/>
    </row>
    <row r="29">
      <c r="A29" s="12"/>
    </row>
    <row r="30">
      <c r="A30" s="12"/>
    </row>
  </sheetData>
  <drawing r:id="rId1"/>
</worksheet>
</file>