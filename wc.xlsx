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<sst xmlns="http://schemas.openxmlformats.org/spreadsheetml/2006/main" count="182" uniqueCount="133">
  <si>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</si>
  <si>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</si>
  <si>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</si>
  <si>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</si>
  <si>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</si>
  <si>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</si>
  <si>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</si>
  <si>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</si>
  <si>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</si>
  <si>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</si>
  <si>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</si>
  <si>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</si>
  <si>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</si>
  <si>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</si>
  <si>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</si>
  <si>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</si>
  <si>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</si>
  <si>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</si>
  <si>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</si>
  <si>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</si>
  <si>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</si>
  <si>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</si>
  <si>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</si>
  <si>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</si>
  <si>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</si>
  <si>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</si>
  <si>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</si>
  <si>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</si>
  <si>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</si>
  <si>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</si>
  <si>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</si>
  <si>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</si>
  <si>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</si>
  <si>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</si>
  <si>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</si>
  <si>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</si>
  <si>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</si>
  <si>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</si>
  <si>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</si>
  <si>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</si>
  <si>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</si>
  <si>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</si>
  <si>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</si>
  <si>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</si>
  <si>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</si>
  <si>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</si>
  <si>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</si>
  <si>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</si>
  <si>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</si>
  <si>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</si>
  <si>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</si>
  <si>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</si>
  <si>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</si>
  <si>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</si>
  <si>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</si>
  <si>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</si>
  <si>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</si>
  <si>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</si>
  <si>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</si>
  <si>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</si>
  <si>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</si>
  <si>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</si>
  <si>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</si>
  <si>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</si>
  <si>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</si>
  <si>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</si>
  <si>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</si>
  <si>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</si>
  <si>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</si>
  <si>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</si>
  <si>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</si>
  <si>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</si>
  <si>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</si>
  <si>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</si>
  <si>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</si>
  <si>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</si>
  <si>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</si>
  <si>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</si>
  <si>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</si>
  <si>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</si>
  <si>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</si>
  <si>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</si>
  <si>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</si>
  <si>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</si>
  <si>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</si>
  <si>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</si>
  <si>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</si>
  <si>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</si>
  <si>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</si>
  <si>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</si>
  <si>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</si>
  <si>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</si>
  <si>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</si>
  <si>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</si>
  <si>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</si>
  <si>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</si>
  <si>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</si>
  <si>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</si>
  <si>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</si>
  <si>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</si>
  <si>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</si>
  <si>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</si>
  <si>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</si>
  <si>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</si>
  <si>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</si>
  <si>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</si>
  <si>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</si>
  <si>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</si>
  <si>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</si>
  <si>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</si>
  <si>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</si>
  <si>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</si>
  <si>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</si>
  <si>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</si>
  <si>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</si>
  <si>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</si>
  <si>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</si>
  <si>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</si>
  <si>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</si>
  <si>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</si>
  <si>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r>
      <rPr>
        <rFont val="Arial"/>
        <b/>
        <color theme="1"/>
      </rPr>
      <t xml:space="preserve">Tây Ban Nha </t>
    </r>
    <r>
      <rPr>
        <rFont val="Arial"/>
        <color theme="1"/>
      </rPr>
      <t>- Bỉ</t>
    </r>
  </si>
  <si>
    <r>
      <rPr>
        <rFont val="Arial"/>
        <color theme="1"/>
      </rPr>
      <t xml:space="preserve">Anh - </t>
    </r>
    <r>
      <rPr>
        <rFont val="Arial"/>
        <b/>
        <color theme="1"/>
      </rPr>
      <t>Na Uy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</si>
  <si>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Thuỵ Sĩ</t>
    </r>
  </si>
  <si>
    <t>Vua đóng góp</t>
  </si>
  <si>
    <t>Góp gạo</t>
  </si>
  <si>
    <t>SUM</t>
  </si>
  <si>
    <t>AVG/người</t>
  </si>
  <si>
    <t>Ma Rốc</t>
  </si>
  <si>
    <t>Bồ Đào Nha</t>
  </si>
  <si>
    <t>Anh</t>
  </si>
  <si>
    <t>Na Uy</t>
  </si>
  <si>
    <t>Thuỵ Sĩ</t>
  </si>
  <si>
    <t>Argentina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</si>
</sst>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sz val="15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5" numFmtId="0" xfId="0" applyAlignment="1" applyFill="1" applyFont="1">
      <alignment readingOrder="0"/>
    </xf>
    <xf borderId="0" fillId="7" fontId="5" numFmtId="0" xfId="0" applyAlignment="1" applyFill="1" applyFont="1">
      <alignment readingOrder="0"/>
    </xf>
    <xf borderId="0" fillId="7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5" fontId="1" numFmtId="0" xfId="0" applyFont="1"/>
    <xf borderId="0" fillId="2" fontId="1" numFmtId="0" xfId="0" applyFont="1"/>
    <xf borderId="0" fillId="0" fontId="6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1620</v>
      </c>
      <c r="C1" s="1">
        <f t="shared" si="1"/>
        <v>1350</v>
      </c>
      <c r="D1" s="1">
        <f t="shared" si="1"/>
        <v>1360</v>
      </c>
      <c r="E1" s="1">
        <f t="shared" si="1"/>
        <v>1300</v>
      </c>
      <c r="F1" s="1">
        <f t="shared" si="1"/>
        <v>1850</v>
      </c>
      <c r="G1" s="1">
        <f t="shared" si="1"/>
        <v>1490</v>
      </c>
      <c r="H1" s="1">
        <f t="shared" si="1"/>
        <v>1290</v>
      </c>
      <c r="I1" s="1">
        <f t="shared" si="1"/>
        <v>1250</v>
      </c>
      <c r="J1" s="1">
        <f t="shared" si="1"/>
        <v>1430</v>
      </c>
      <c r="K1" s="1">
        <f t="shared" si="1"/>
        <v>1420</v>
      </c>
      <c r="L1" s="1">
        <f t="shared" si="1"/>
        <v>1470</v>
      </c>
      <c r="M1" s="1">
        <f t="shared" si="1"/>
        <v>1500</v>
      </c>
      <c r="N1" s="1">
        <f t="shared" si="1"/>
        <v>1380</v>
      </c>
      <c r="O1" s="1">
        <f t="shared" si="1"/>
        <v>1560</v>
      </c>
      <c r="P1" s="1">
        <f t="shared" si="1"/>
        <v>1500</v>
      </c>
      <c r="Q1" s="1">
        <f t="shared" si="1"/>
        <v>1240</v>
      </c>
      <c r="R1" s="1">
        <f t="shared" si="1"/>
        <v>1460</v>
      </c>
      <c r="S1" s="1">
        <f t="shared" si="1"/>
        <v>1250</v>
      </c>
      <c r="T1" s="1">
        <f t="shared" si="1"/>
        <v>1440</v>
      </c>
      <c r="U1" s="1">
        <f t="shared" si="1"/>
        <v>1130</v>
      </c>
      <c r="V1" s="1">
        <f t="shared" si="1"/>
        <v>1510</v>
      </c>
      <c r="W1" s="1">
        <f t="shared" si="1"/>
        <v>1600</v>
      </c>
      <c r="X1" s="2">
        <f>COUNTIF(X3:X130,"&gt;0")</f>
        <v>100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6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10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11">
        <v>100.0</v>
      </c>
      <c r="J95" s="7">
        <v>50.0</v>
      </c>
      <c r="P95" s="7">
        <v>50.0</v>
      </c>
      <c r="R95" s="7">
        <v>50.0</v>
      </c>
      <c r="V95" s="11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B100" s="7">
        <v>50.0</v>
      </c>
      <c r="E100" s="7">
        <v>50.0</v>
      </c>
      <c r="J100" s="7">
        <v>50.0</v>
      </c>
      <c r="L100" s="7">
        <v>50.0</v>
      </c>
      <c r="P100" s="7">
        <v>50.0</v>
      </c>
      <c r="R100" s="7">
        <v>50.0</v>
      </c>
      <c r="U100" s="7">
        <v>50.0</v>
      </c>
      <c r="X100" s="2">
        <f t="shared" si="2"/>
        <v>350</v>
      </c>
    </row>
    <row r="101">
      <c r="A101" s="6" t="s">
        <v>121</v>
      </c>
      <c r="C101" s="7">
        <v>50.0</v>
      </c>
      <c r="F101" s="12">
        <v>100.0</v>
      </c>
      <c r="G101" s="12">
        <v>100.0</v>
      </c>
      <c r="J101" s="7">
        <v>50.0</v>
      </c>
      <c r="M101" s="7">
        <v>50.0</v>
      </c>
      <c r="O101" s="7">
        <v>50.0</v>
      </c>
      <c r="P101" s="7">
        <v>50.0</v>
      </c>
      <c r="Q101" s="7">
        <v>50.0</v>
      </c>
      <c r="S101" s="7">
        <v>50.0</v>
      </c>
      <c r="U101" s="13">
        <v>-50.0</v>
      </c>
      <c r="W101" s="7">
        <v>50.0</v>
      </c>
      <c r="X101" s="2">
        <f t="shared" si="2"/>
        <v>550</v>
      </c>
    </row>
    <row r="102">
      <c r="A102" s="6" t="s">
        <v>122</v>
      </c>
      <c r="C102" s="12">
        <v>100.0</v>
      </c>
      <c r="D102" s="7">
        <v>50.0</v>
      </c>
      <c r="F102" s="12">
        <v>100.0</v>
      </c>
      <c r="H102" s="12">
        <v>100.0</v>
      </c>
      <c r="I102" s="12">
        <v>100.0</v>
      </c>
      <c r="J102" s="7">
        <v>50.0</v>
      </c>
      <c r="K102" s="12">
        <v>100.0</v>
      </c>
      <c r="M102" s="12">
        <v>100.0</v>
      </c>
      <c r="N102" s="12">
        <v>100.0</v>
      </c>
      <c r="O102" s="7">
        <v>50.0</v>
      </c>
      <c r="P102" s="7">
        <v>50.0</v>
      </c>
      <c r="Q102" s="12">
        <v>100.0</v>
      </c>
      <c r="R102" s="12">
        <v>100.0</v>
      </c>
      <c r="S102" s="7">
        <v>50.0</v>
      </c>
      <c r="T102" s="7">
        <v>50.0</v>
      </c>
      <c r="U102" s="13">
        <v>-50.0</v>
      </c>
      <c r="V102" s="12">
        <v>100.0</v>
      </c>
      <c r="W102" s="7">
        <v>50.0</v>
      </c>
      <c r="X102" s="2">
        <f t="shared" si="2"/>
        <v>1300</v>
      </c>
    </row>
    <row r="103">
      <c r="A103" s="14"/>
      <c r="X103" s="2">
        <f t="shared" si="2"/>
        <v>0</v>
      </c>
    </row>
    <row r="104">
      <c r="A104" s="14"/>
      <c r="X104" s="2">
        <f t="shared" si="2"/>
        <v>0</v>
      </c>
    </row>
    <row r="105">
      <c r="A105" s="14"/>
      <c r="X105" s="2">
        <f t="shared" si="2"/>
        <v>0</v>
      </c>
    </row>
    <row r="106">
      <c r="A106" s="14"/>
      <c r="X106" s="2">
        <f t="shared" si="2"/>
        <v>0</v>
      </c>
    </row>
    <row r="107">
      <c r="A107" s="1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20.88"/>
    <col customWidth="1" min="3" max="3" width="13.5"/>
  </cols>
  <sheetData>
    <row r="1">
      <c r="A1" s="16" t="s">
        <v>123</v>
      </c>
      <c r="B1" s="16" t="s">
        <v>124</v>
      </c>
      <c r="C1" s="16"/>
    </row>
    <row r="2">
      <c r="A2" s="17" t="str">
        <f t="array" ref="A2:B23">SORT(
TRANSPOSE({Detail!B2:W2;Detail!B1:W1}),
2,
FALSE
)</f>
        <v>Tiến Tùng</v>
      </c>
      <c r="B2" s="17">
        <v>1850.0</v>
      </c>
      <c r="C2" s="17"/>
    </row>
    <row r="3">
      <c r="A3" s="17" t="s">
        <v>0</v>
      </c>
      <c r="B3" s="17">
        <v>1620.0</v>
      </c>
      <c r="C3" s="17"/>
    </row>
    <row r="4">
      <c r="A4" s="17" t="s">
        <v>21</v>
      </c>
      <c r="B4" s="17">
        <v>1600.0</v>
      </c>
      <c r="C4" s="17"/>
    </row>
    <row r="5">
      <c r="A5" s="17" t="s">
        <v>13</v>
      </c>
      <c r="B5" s="17">
        <v>1560.0</v>
      </c>
      <c r="C5" s="17"/>
    </row>
    <row r="6">
      <c r="A6" s="17" t="s">
        <v>20</v>
      </c>
      <c r="B6" s="17">
        <v>1510.0</v>
      </c>
      <c r="C6" s="17"/>
    </row>
    <row r="7">
      <c r="A7" s="17" t="s">
        <v>11</v>
      </c>
      <c r="B7" s="17">
        <v>1500.0</v>
      </c>
      <c r="C7" s="17"/>
    </row>
    <row r="8">
      <c r="A8" s="17" t="s">
        <v>14</v>
      </c>
      <c r="B8" s="17">
        <v>1500.0</v>
      </c>
      <c r="C8" s="17"/>
    </row>
    <row r="9">
      <c r="A9" s="17" t="s">
        <v>5</v>
      </c>
      <c r="B9" s="17">
        <v>1490.0</v>
      </c>
      <c r="C9" s="17"/>
    </row>
    <row r="10">
      <c r="A10" s="17" t="s">
        <v>10</v>
      </c>
      <c r="B10" s="17">
        <v>1470.0</v>
      </c>
      <c r="C10" s="17"/>
    </row>
    <row r="11">
      <c r="A11" s="17" t="s">
        <v>16</v>
      </c>
      <c r="B11" s="17">
        <v>1460.0</v>
      </c>
      <c r="C11" s="17"/>
    </row>
    <row r="12">
      <c r="A12" s="17" t="s">
        <v>18</v>
      </c>
      <c r="B12" s="17">
        <v>1440.0</v>
      </c>
      <c r="C12" s="17"/>
    </row>
    <row r="13">
      <c r="A13" s="17" t="s">
        <v>8</v>
      </c>
      <c r="B13" s="17">
        <v>1430.0</v>
      </c>
      <c r="C13" s="17"/>
    </row>
    <row r="14">
      <c r="A14" s="17" t="s">
        <v>9</v>
      </c>
      <c r="B14" s="17">
        <v>1420.0</v>
      </c>
      <c r="C14" s="17"/>
    </row>
    <row r="15">
      <c r="A15" s="17" t="s">
        <v>12</v>
      </c>
      <c r="B15" s="17">
        <v>1380.0</v>
      </c>
      <c r="C15" s="17"/>
    </row>
    <row r="16">
      <c r="A16" s="17" t="s">
        <v>2</v>
      </c>
      <c r="B16" s="17">
        <v>1360.0</v>
      </c>
      <c r="C16" s="17"/>
    </row>
    <row r="17">
      <c r="A17" s="17" t="s">
        <v>1</v>
      </c>
      <c r="B17" s="17">
        <v>1350.0</v>
      </c>
      <c r="C17" s="17"/>
    </row>
    <row r="18">
      <c r="A18" s="17" t="s">
        <v>3</v>
      </c>
      <c r="B18" s="17">
        <v>1300.0</v>
      </c>
      <c r="C18" s="17"/>
    </row>
    <row r="19">
      <c r="A19" s="17" t="s">
        <v>6</v>
      </c>
      <c r="B19" s="17">
        <v>1290.0</v>
      </c>
      <c r="C19" s="17"/>
    </row>
    <row r="20">
      <c r="A20" s="17" t="s">
        <v>7</v>
      </c>
      <c r="B20" s="17">
        <v>1250.0</v>
      </c>
      <c r="C20" s="17"/>
    </row>
    <row r="21">
      <c r="A21" s="17" t="s">
        <v>17</v>
      </c>
      <c r="B21" s="17">
        <v>1250.0</v>
      </c>
      <c r="C21" s="17"/>
    </row>
    <row r="22">
      <c r="A22" s="17" t="s">
        <v>15</v>
      </c>
      <c r="B22" s="17">
        <v>1240.0</v>
      </c>
      <c r="C22" s="18"/>
    </row>
    <row r="23">
      <c r="A23" s="17" t="s">
        <v>19</v>
      </c>
      <c r="B23" s="17">
        <v>1130.0</v>
      </c>
      <c r="C23" s="17"/>
    </row>
    <row r="24">
      <c r="A24" s="18"/>
      <c r="B24" s="17"/>
    </row>
    <row r="25">
      <c r="A25" s="19" t="s">
        <v>125</v>
      </c>
      <c r="B25" s="20">
        <f>SUM(B2:B23)</f>
        <v>31400</v>
      </c>
    </row>
    <row r="26">
      <c r="A26" s="19" t="s">
        <v>126</v>
      </c>
      <c r="B26" s="20">
        <f>ROUND(B25/22,0)</f>
        <v>1427</v>
      </c>
    </row>
    <row r="27">
      <c r="A27" s="19"/>
      <c r="B27" s="21"/>
    </row>
    <row r="28">
      <c r="A28" s="19"/>
      <c r="B28" s="22"/>
    </row>
    <row r="29">
      <c r="A29" s="17"/>
    </row>
    <row r="30">
      <c r="A30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>
        <v>46207.0</v>
      </c>
      <c r="B1" s="18" t="s">
        <v>15</v>
      </c>
      <c r="C1" s="18">
        <v>1.0</v>
      </c>
      <c r="D1" s="18" t="s">
        <v>127</v>
      </c>
    </row>
    <row r="2">
      <c r="A2" s="23">
        <v>46209.0</v>
      </c>
      <c r="B2" s="18" t="s">
        <v>7</v>
      </c>
      <c r="C2" s="18">
        <v>1.0</v>
      </c>
      <c r="D2" s="18" t="s">
        <v>128</v>
      </c>
    </row>
    <row r="3">
      <c r="A3" s="23">
        <v>46209.0</v>
      </c>
      <c r="B3" s="18" t="s">
        <v>20</v>
      </c>
      <c r="C3" s="18">
        <v>1.0</v>
      </c>
      <c r="D3" s="18" t="s">
        <v>128</v>
      </c>
    </row>
    <row r="4">
      <c r="A4" s="23">
        <v>46214.0</v>
      </c>
      <c r="B4" s="18" t="s">
        <v>4</v>
      </c>
      <c r="C4" s="18">
        <v>1.0</v>
      </c>
      <c r="D4" s="18" t="s">
        <v>129</v>
      </c>
    </row>
    <row r="5">
      <c r="A5" s="23">
        <v>46214.0</v>
      </c>
      <c r="B5" s="18" t="s">
        <v>5</v>
      </c>
      <c r="C5" s="18">
        <v>1.0</v>
      </c>
      <c r="D5" s="18" t="s">
        <v>129</v>
      </c>
    </row>
    <row r="6">
      <c r="A6" s="23">
        <v>46214.0</v>
      </c>
      <c r="B6" s="18" t="s">
        <v>19</v>
      </c>
      <c r="C6" s="18">
        <v>1.0</v>
      </c>
      <c r="D6" s="18" t="s">
        <v>130</v>
      </c>
    </row>
    <row r="7">
      <c r="A7" s="23">
        <v>46214.0</v>
      </c>
      <c r="B7" s="18" t="s">
        <v>19</v>
      </c>
      <c r="C7" s="18">
        <v>1.0</v>
      </c>
      <c r="D7" s="18" t="s">
        <v>131</v>
      </c>
    </row>
    <row r="8">
      <c r="A8" s="23">
        <v>46214.0</v>
      </c>
      <c r="B8" s="18" t="s">
        <v>20</v>
      </c>
      <c r="C8" s="18">
        <v>1.0</v>
      </c>
      <c r="D8" s="18" t="s">
        <v>132</v>
      </c>
    </row>
    <row r="9">
      <c r="A9" s="23">
        <v>46214.0</v>
      </c>
      <c r="B9" s="18" t="s">
        <v>15</v>
      </c>
      <c r="C9" s="18">
        <v>1.0</v>
      </c>
      <c r="D9" s="18" t="s">
        <v>132</v>
      </c>
    </row>
    <row r="10">
      <c r="A10" s="23">
        <v>46214.0</v>
      </c>
      <c r="B10" s="18" t="s">
        <v>7</v>
      </c>
      <c r="C10" s="18">
        <v>1.0</v>
      </c>
      <c r="D10" s="18" t="s">
        <v>132</v>
      </c>
    </row>
    <row r="11">
      <c r="A11" s="23">
        <v>46214.0</v>
      </c>
      <c r="B11" s="18" t="s">
        <v>1</v>
      </c>
      <c r="C11" s="18">
        <v>1.0</v>
      </c>
      <c r="D11" s="18" t="s">
        <v>132</v>
      </c>
    </row>
    <row r="12">
      <c r="A12" s="23">
        <v>46214.0</v>
      </c>
      <c r="B12" s="18" t="s">
        <v>6</v>
      </c>
      <c r="C12" s="18">
        <v>1.0</v>
      </c>
      <c r="D12" s="18" t="s">
        <v>132</v>
      </c>
    </row>
    <row r="13">
      <c r="A13" s="23">
        <v>46214.0</v>
      </c>
      <c r="B13" s="18" t="s">
        <v>9</v>
      </c>
      <c r="C13" s="18">
        <v>1.0</v>
      </c>
      <c r="D13" s="18" t="s">
        <v>132</v>
      </c>
    </row>
    <row r="14">
      <c r="A14" s="23">
        <v>46214.0</v>
      </c>
      <c r="B14" s="18" t="s">
        <v>11</v>
      </c>
      <c r="C14" s="18">
        <v>1.0</v>
      </c>
      <c r="D14" s="18" t="s">
        <v>132</v>
      </c>
    </row>
    <row r="15">
      <c r="A15" s="23">
        <v>46214.0</v>
      </c>
      <c r="B15" s="18" t="s">
        <v>16</v>
      </c>
      <c r="C15" s="18">
        <v>1.0</v>
      </c>
      <c r="D15" s="18" t="s">
        <v>132</v>
      </c>
    </row>
    <row r="16">
      <c r="A16" s="23">
        <v>46214.0</v>
      </c>
      <c r="B16" s="18" t="s">
        <v>12</v>
      </c>
      <c r="C16" s="18">
        <v>1.0</v>
      </c>
      <c r="D16" s="18" t="s">
        <v>132</v>
      </c>
    </row>
    <row r="17">
      <c r="A17" s="23">
        <v>46214.0</v>
      </c>
      <c r="B17" s="18" t="s">
        <v>4</v>
      </c>
      <c r="C17" s="18">
        <v>1.0</v>
      </c>
      <c r="D17" s="18" t="s">
        <v>132</v>
      </c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</sheetData>
  <drawing r:id="rId1"/>
</worksheet>
</file>