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<sst xmlns="http://schemas.openxmlformats.org/spreadsheetml/2006/main" count="89" uniqueCount="68">
  <si>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</si>
  <si>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</si>
  <si>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</si>
  <si>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</si>
  <si>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</si>
  <si>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</si>
  <si>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</si>
  <si>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</si>
  <si>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</si>
  <si>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</si>
  <si>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</si>
  <si>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</si>
  <si>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</si>
  <si>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</si>
  <si>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</si>
  <si>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</si>
  <si>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</si>
  <si>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</si>
  <si>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</si>
  <si>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</si>
  <si>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</si>
  <si>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</si>
  <si>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</si>
  <si>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</si>
  <si>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</si>
  <si>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</si>
  <si>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</si>
  <si>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</si>
  <si>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</si>
  <si>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</si>
  <si>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</si>
  <si>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</si>
  <si>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</si>
  <si>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</si>
  <si>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</si>
  <si>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</si>
  <si>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</si>
  <si>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</si>
  <si>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</si>
  <si>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</si>
  <si>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</si>
  <si>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</si>
  <si>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</si>
  <si>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</si>
  <si>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</si>
  <si>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</si>
  <si>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</si>
  <si>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</si>
  <si>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</si>
  <si>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</si>
  <si>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</si>
  <si>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</si>
  <si>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</si>
  <si>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</si>
  <si>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</si>
  <si>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</si>
  <si>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</si>
  <si>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</si>
  <si>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</si>
  <si>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</si>
  <si>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</si>
  <si>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</si>
  <si>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t>Ai Cập - New Zealand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</si>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</sst>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460</v>
      </c>
      <c r="C1" s="1">
        <f t="shared" si="1"/>
        <v>340</v>
      </c>
      <c r="D1" s="1">
        <f t="shared" si="1"/>
        <v>380</v>
      </c>
      <c r="E1" s="1">
        <f t="shared" si="1"/>
        <v>300</v>
      </c>
      <c r="F1" s="1">
        <f t="shared" si="1"/>
        <v>500</v>
      </c>
      <c r="G1" s="1">
        <f t="shared" si="1"/>
        <v>400</v>
      </c>
      <c r="H1" s="1">
        <f t="shared" si="1"/>
        <v>360</v>
      </c>
      <c r="I1" s="1">
        <f t="shared" si="1"/>
        <v>360</v>
      </c>
      <c r="J1" s="1">
        <f t="shared" si="1"/>
        <v>320</v>
      </c>
      <c r="K1" s="1">
        <f t="shared" si="1"/>
        <v>320</v>
      </c>
      <c r="L1" s="1">
        <f t="shared" si="1"/>
        <v>460</v>
      </c>
      <c r="M1" s="1">
        <f t="shared" si="1"/>
        <v>380</v>
      </c>
      <c r="N1" s="1">
        <f t="shared" si="1"/>
        <v>360</v>
      </c>
      <c r="O1" s="1">
        <f t="shared" si="1"/>
        <v>340</v>
      </c>
      <c r="P1" s="1">
        <f t="shared" si="1"/>
        <v>380</v>
      </c>
      <c r="Q1" s="1">
        <f t="shared" si="1"/>
        <v>280</v>
      </c>
      <c r="R1" s="1">
        <f t="shared" si="1"/>
        <v>400</v>
      </c>
      <c r="S1" s="1">
        <f t="shared" si="1"/>
        <v>360</v>
      </c>
      <c r="T1" s="1">
        <f t="shared" si="1"/>
        <v>420</v>
      </c>
      <c r="U1" s="1">
        <f t="shared" si="1"/>
        <v>460</v>
      </c>
      <c r="V1" s="1">
        <f t="shared" si="1"/>
        <v>460</v>
      </c>
      <c r="W1" s="1">
        <f t="shared" si="1"/>
        <v>380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C27" s="6">
        <v>20.0</v>
      </c>
      <c r="D27" s="6">
        <v>20.0</v>
      </c>
      <c r="E27" s="6">
        <v>20.0</v>
      </c>
      <c r="F27" s="6">
        <v>20.0</v>
      </c>
      <c r="G27" s="6">
        <v>20.0</v>
      </c>
      <c r="H27" s="6">
        <v>20.0</v>
      </c>
      <c r="I27" s="6">
        <v>20.0</v>
      </c>
      <c r="L27" s="6">
        <v>20.0</v>
      </c>
      <c r="N27" s="6">
        <v>20.0</v>
      </c>
      <c r="O27" s="6">
        <v>20.0</v>
      </c>
      <c r="P27" s="6">
        <v>20.0</v>
      </c>
      <c r="Q27" s="6">
        <v>20.0</v>
      </c>
      <c r="R27" s="6">
        <v>20.0</v>
      </c>
      <c r="T27" s="6">
        <v>20.0</v>
      </c>
      <c r="U27" s="6">
        <v>20.0</v>
      </c>
      <c r="V27" s="6">
        <v>20.0</v>
      </c>
      <c r="W27" s="6">
        <v>20.0</v>
      </c>
      <c r="X27" s="7">
        <f t="shared" si="2"/>
        <v>340</v>
      </c>
    </row>
    <row r="28">
      <c r="A28" s="5" t="s">
        <v>48</v>
      </c>
      <c r="B28" s="6">
        <v>20.0</v>
      </c>
      <c r="G28" s="6">
        <v>20.0</v>
      </c>
      <c r="H28" s="6">
        <v>20.0</v>
      </c>
      <c r="L28" s="6">
        <v>20.0</v>
      </c>
      <c r="M28" s="6">
        <v>20.0</v>
      </c>
      <c r="T28" s="6">
        <v>20.0</v>
      </c>
      <c r="U28" s="6">
        <v>20.0</v>
      </c>
      <c r="V28" s="6">
        <v>20.0</v>
      </c>
      <c r="X28" s="7">
        <f t="shared" si="2"/>
        <v>160</v>
      </c>
    </row>
    <row r="29">
      <c r="A29" s="5" t="s">
        <v>49</v>
      </c>
      <c r="B29" s="6">
        <v>20.0</v>
      </c>
      <c r="F29" s="6">
        <v>20.0</v>
      </c>
      <c r="J29" s="6">
        <v>20.0</v>
      </c>
      <c r="L29" s="6">
        <v>20.0</v>
      </c>
      <c r="M29" s="6">
        <v>20.0</v>
      </c>
      <c r="P29" s="6">
        <v>20.0</v>
      </c>
      <c r="R29" s="6">
        <v>20.0</v>
      </c>
      <c r="S29" s="6">
        <v>20.0</v>
      </c>
      <c r="T29" s="6">
        <v>20.0</v>
      </c>
      <c r="U29" s="6">
        <v>20.0</v>
      </c>
      <c r="V29" s="6">
        <v>20.0</v>
      </c>
      <c r="W29" s="6">
        <v>20.0</v>
      </c>
      <c r="X29" s="7">
        <f t="shared" si="2"/>
        <v>240</v>
      </c>
    </row>
    <row r="30">
      <c r="A30" s="5" t="s">
        <v>50</v>
      </c>
      <c r="B30" s="6">
        <v>20.0</v>
      </c>
      <c r="C30" s="6">
        <v>20.0</v>
      </c>
      <c r="D30" s="6">
        <v>20.0</v>
      </c>
      <c r="E30" s="6">
        <v>20.0</v>
      </c>
      <c r="G30" s="6">
        <v>20.0</v>
      </c>
      <c r="H30" s="6">
        <v>20.0</v>
      </c>
      <c r="J30" s="6">
        <v>20.0</v>
      </c>
      <c r="L30" s="6">
        <v>20.0</v>
      </c>
      <c r="M30" s="6">
        <v>20.0</v>
      </c>
      <c r="P30" s="6">
        <v>20.0</v>
      </c>
      <c r="Q30" s="6">
        <v>20.0</v>
      </c>
      <c r="R30" s="6">
        <v>20.0</v>
      </c>
      <c r="S30" s="6">
        <v>20.0</v>
      </c>
      <c r="T30" s="6">
        <v>20.0</v>
      </c>
      <c r="U30" s="6">
        <v>20.0</v>
      </c>
      <c r="X30" s="7">
        <f t="shared" si="2"/>
        <v>300</v>
      </c>
    </row>
    <row r="31">
      <c r="A31" s="5" t="s">
        <v>51</v>
      </c>
      <c r="B31" s="6">
        <v>20.0</v>
      </c>
      <c r="F31" s="6">
        <v>20.0</v>
      </c>
      <c r="H31" s="6">
        <v>20.0</v>
      </c>
      <c r="K31" s="6">
        <v>20.0</v>
      </c>
      <c r="L31" s="6">
        <v>20.0</v>
      </c>
      <c r="W31" s="6">
        <v>20.0</v>
      </c>
      <c r="X31" s="7">
        <f t="shared" si="2"/>
        <v>120</v>
      </c>
    </row>
    <row r="32">
      <c r="A32" s="5" t="s">
        <v>52</v>
      </c>
      <c r="B32" s="6">
        <v>20.0</v>
      </c>
      <c r="F32" s="6">
        <v>20.0</v>
      </c>
      <c r="X32" s="7">
        <f t="shared" si="2"/>
        <v>40</v>
      </c>
    </row>
    <row r="33">
      <c r="A33" s="5" t="s">
        <v>53</v>
      </c>
      <c r="B33" s="6">
        <v>20.0</v>
      </c>
      <c r="F33" s="6">
        <v>20.0</v>
      </c>
      <c r="H33" s="6">
        <v>20.0</v>
      </c>
      <c r="R33" s="6">
        <v>20.0</v>
      </c>
      <c r="X33" s="7">
        <f t="shared" si="2"/>
        <v>80</v>
      </c>
    </row>
    <row r="34">
      <c r="A34" s="5" t="s">
        <v>54</v>
      </c>
      <c r="D34" s="6">
        <v>20.0</v>
      </c>
      <c r="F34" s="6">
        <v>20.0</v>
      </c>
      <c r="I34" s="6">
        <v>20.0</v>
      </c>
      <c r="J34" s="6">
        <v>20.0</v>
      </c>
      <c r="K34" s="6">
        <v>20.0</v>
      </c>
      <c r="L34" s="6">
        <v>20.0</v>
      </c>
      <c r="M34" s="6">
        <v>20.0</v>
      </c>
      <c r="N34" s="6">
        <v>20.0</v>
      </c>
      <c r="O34" s="6">
        <v>20.0</v>
      </c>
      <c r="P34" s="6">
        <v>20.0</v>
      </c>
      <c r="R34" s="6">
        <v>20.0</v>
      </c>
      <c r="S34" s="6">
        <v>20.0</v>
      </c>
      <c r="T34" s="6">
        <v>20.0</v>
      </c>
      <c r="U34" s="6">
        <v>20.0</v>
      </c>
      <c r="V34" s="6">
        <v>20.0</v>
      </c>
      <c r="W34" s="6">
        <v>20.0</v>
      </c>
      <c r="X34" s="7">
        <f t="shared" si="2"/>
        <v>320</v>
      </c>
    </row>
    <row r="35">
      <c r="A35" s="5" t="s">
        <v>55</v>
      </c>
      <c r="B35" s="6">
        <v>20.0</v>
      </c>
      <c r="C35" s="6">
        <v>20.0</v>
      </c>
      <c r="F35" s="6">
        <v>20.0</v>
      </c>
      <c r="T35" s="6">
        <v>20.0</v>
      </c>
      <c r="X35" s="7">
        <f t="shared" si="2"/>
        <v>80</v>
      </c>
    </row>
    <row r="36">
      <c r="A36" s="5" t="s">
        <v>56</v>
      </c>
      <c r="B36" s="6">
        <v>20.0</v>
      </c>
      <c r="C36" s="6">
        <v>20.0</v>
      </c>
      <c r="D36" s="6">
        <v>20.0</v>
      </c>
      <c r="E36" s="6">
        <v>20.0</v>
      </c>
      <c r="F36" s="6">
        <v>20.0</v>
      </c>
      <c r="G36" s="6">
        <v>20.0</v>
      </c>
      <c r="H36" s="6">
        <v>20.0</v>
      </c>
      <c r="I36" s="6">
        <v>20.0</v>
      </c>
      <c r="J36" s="6">
        <v>20.0</v>
      </c>
      <c r="K36" s="6">
        <v>20.0</v>
      </c>
      <c r="L36" s="6">
        <v>20.0</v>
      </c>
      <c r="M36" s="6">
        <v>20.0</v>
      </c>
      <c r="N36" s="6">
        <v>20.0</v>
      </c>
      <c r="O36" s="6">
        <v>20.0</v>
      </c>
      <c r="P36" s="6">
        <v>20.0</v>
      </c>
      <c r="Q36" s="6">
        <v>20.0</v>
      </c>
      <c r="R36" s="6">
        <v>20.0</v>
      </c>
      <c r="S36" s="6">
        <v>20.0</v>
      </c>
      <c r="T36" s="6">
        <v>20.0</v>
      </c>
      <c r="U36" s="6">
        <v>20.0</v>
      </c>
      <c r="V36" s="6">
        <v>20.0</v>
      </c>
      <c r="W36" s="6">
        <v>20.0</v>
      </c>
      <c r="X36" s="7">
        <f t="shared" si="2"/>
        <v>440</v>
      </c>
    </row>
    <row r="37">
      <c r="A37" s="5" t="s">
        <v>57</v>
      </c>
      <c r="D37" s="6">
        <v>20.0</v>
      </c>
      <c r="F37" s="6">
        <v>20.0</v>
      </c>
      <c r="J37" s="6">
        <v>20.0</v>
      </c>
      <c r="M37" s="6">
        <v>20.0</v>
      </c>
      <c r="N37" s="6">
        <v>20.0</v>
      </c>
      <c r="O37" s="6">
        <v>20.0</v>
      </c>
      <c r="S37" s="6">
        <v>20.0</v>
      </c>
      <c r="U37" s="6">
        <v>20.0</v>
      </c>
      <c r="V37" s="6">
        <v>20.0</v>
      </c>
      <c r="X37" s="7">
        <f t="shared" si="2"/>
        <v>180</v>
      </c>
    </row>
    <row r="38">
      <c r="A38" s="5" t="s">
        <v>58</v>
      </c>
      <c r="B38" s="6">
        <v>20.0</v>
      </c>
      <c r="G38" s="6">
        <v>20.0</v>
      </c>
      <c r="X38" s="7">
        <f t="shared" si="2"/>
        <v>40</v>
      </c>
    </row>
    <row r="39">
      <c r="A39" s="5" t="s">
        <v>59</v>
      </c>
      <c r="B39" s="6">
        <v>20.0</v>
      </c>
      <c r="D39" s="6">
        <v>20.0</v>
      </c>
      <c r="J39" s="6">
        <v>20.0</v>
      </c>
      <c r="L39" s="6">
        <v>20.0</v>
      </c>
      <c r="P39" s="6">
        <v>20.0</v>
      </c>
      <c r="R39" s="6">
        <v>20.0</v>
      </c>
      <c r="V39" s="6">
        <v>20.0</v>
      </c>
      <c r="W39" s="6">
        <v>20.0</v>
      </c>
      <c r="X39" s="7">
        <f t="shared" si="2"/>
        <v>160</v>
      </c>
    </row>
    <row r="40">
      <c r="A40" s="5" t="s">
        <v>60</v>
      </c>
      <c r="F40" s="6">
        <v>20.0</v>
      </c>
      <c r="G40" s="6">
        <v>20.0</v>
      </c>
      <c r="I40" s="6">
        <v>20.0</v>
      </c>
      <c r="K40" s="6">
        <v>20.0</v>
      </c>
      <c r="M40" s="6">
        <v>20.0</v>
      </c>
      <c r="N40" s="6">
        <v>20.0</v>
      </c>
      <c r="O40" s="6">
        <v>20.0</v>
      </c>
      <c r="S40" s="6">
        <v>20.0</v>
      </c>
      <c r="T40" s="6">
        <v>20.0</v>
      </c>
      <c r="U40" s="6">
        <v>20.0</v>
      </c>
      <c r="V40" s="6">
        <v>20.0</v>
      </c>
      <c r="W40" s="6">
        <v>20.0</v>
      </c>
      <c r="X40" s="7">
        <f t="shared" si="2"/>
        <v>240</v>
      </c>
    </row>
    <row r="41">
      <c r="A41" s="5" t="s">
        <v>61</v>
      </c>
      <c r="D41" s="6">
        <v>20.0</v>
      </c>
      <c r="F41" s="6">
        <v>20.0</v>
      </c>
      <c r="G41" s="6">
        <v>20.0</v>
      </c>
      <c r="I41" s="6">
        <v>20.0</v>
      </c>
      <c r="J41" s="6">
        <v>20.0</v>
      </c>
      <c r="K41" s="6">
        <v>20.0</v>
      </c>
      <c r="L41" s="6">
        <v>20.0</v>
      </c>
      <c r="M41" s="6">
        <v>20.0</v>
      </c>
      <c r="N41" s="6">
        <v>20.0</v>
      </c>
      <c r="O41" s="6">
        <v>20.0</v>
      </c>
      <c r="R41" s="6">
        <v>20.0</v>
      </c>
      <c r="S41" s="6">
        <v>20.0</v>
      </c>
      <c r="T41" s="6">
        <v>20.0</v>
      </c>
      <c r="W41" s="6">
        <v>20.0</v>
      </c>
      <c r="X41" s="7">
        <f t="shared" si="2"/>
        <v>280</v>
      </c>
    </row>
    <row r="42">
      <c r="A42" s="5" t="s">
        <v>62</v>
      </c>
      <c r="X42" s="7">
        <f t="shared" si="2"/>
        <v>0</v>
      </c>
    </row>
    <row r="43">
      <c r="A43" s="8"/>
      <c r="X43" s="7">
        <f t="shared" si="2"/>
        <v>0</v>
      </c>
    </row>
    <row r="44">
      <c r="A44" s="8"/>
      <c r="X44" s="7">
        <f t="shared" si="2"/>
        <v>0</v>
      </c>
    </row>
    <row r="45">
      <c r="A45" s="8"/>
      <c r="X45" s="7">
        <f t="shared" si="2"/>
        <v>0</v>
      </c>
    </row>
    <row r="46">
      <c r="A46" s="8"/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63</v>
      </c>
      <c r="B1" s="9" t="s">
        <v>64</v>
      </c>
      <c r="C1" s="9" t="s">
        <v>65</v>
      </c>
    </row>
    <row r="2">
      <c r="A2" s="10" t="str">
        <f t="array" ref="A2:B23">SORT(
TRANSPOSE({Detail!B2:W2;Detail!B1:W1}),
2,
FALSE
)</f>
        <v>Tiến Tùng</v>
      </c>
      <c r="B2" s="7">
        <v>500.0</v>
      </c>
    </row>
    <row r="3">
      <c r="A3" s="10" t="s">
        <v>0</v>
      </c>
      <c r="B3" s="7">
        <v>460.0</v>
      </c>
    </row>
    <row r="4">
      <c r="A4" s="10" t="s">
        <v>10</v>
      </c>
      <c r="B4" s="7">
        <v>460.0</v>
      </c>
    </row>
    <row r="5">
      <c r="A5" s="10" t="s">
        <v>19</v>
      </c>
      <c r="B5" s="7">
        <v>460.0</v>
      </c>
    </row>
    <row r="6">
      <c r="A6" s="10" t="s">
        <v>20</v>
      </c>
      <c r="B6" s="7">
        <v>460.0</v>
      </c>
    </row>
    <row r="7">
      <c r="A7" s="10" t="s">
        <v>18</v>
      </c>
      <c r="B7" s="7">
        <v>420.0</v>
      </c>
    </row>
    <row r="8">
      <c r="A8" s="10" t="s">
        <v>5</v>
      </c>
      <c r="B8" s="7">
        <v>400.0</v>
      </c>
    </row>
    <row r="9">
      <c r="A9" s="10" t="s">
        <v>16</v>
      </c>
      <c r="B9" s="7">
        <v>400.0</v>
      </c>
    </row>
    <row r="10">
      <c r="A10" s="10" t="s">
        <v>2</v>
      </c>
      <c r="B10" s="7">
        <v>380.0</v>
      </c>
    </row>
    <row r="11">
      <c r="A11" s="10" t="s">
        <v>11</v>
      </c>
      <c r="B11" s="7">
        <v>380.0</v>
      </c>
    </row>
    <row r="12">
      <c r="A12" s="10" t="s">
        <v>14</v>
      </c>
      <c r="B12" s="7">
        <v>380.0</v>
      </c>
    </row>
    <row r="13">
      <c r="A13" s="10" t="s">
        <v>21</v>
      </c>
      <c r="B13" s="7">
        <v>380.0</v>
      </c>
    </row>
    <row r="14">
      <c r="A14" s="10" t="s">
        <v>6</v>
      </c>
      <c r="B14" s="7">
        <v>360.0</v>
      </c>
    </row>
    <row r="15">
      <c r="A15" s="10" t="s">
        <v>7</v>
      </c>
      <c r="B15" s="7">
        <v>360.0</v>
      </c>
    </row>
    <row r="16">
      <c r="A16" s="10" t="s">
        <v>12</v>
      </c>
      <c r="B16" s="7">
        <v>360.0</v>
      </c>
    </row>
    <row r="17">
      <c r="A17" s="10" t="s">
        <v>17</v>
      </c>
      <c r="B17" s="7">
        <v>360.0</v>
      </c>
    </row>
    <row r="18">
      <c r="A18" s="10" t="s">
        <v>1</v>
      </c>
      <c r="B18" s="7">
        <v>340.0</v>
      </c>
    </row>
    <row r="19">
      <c r="A19" s="10" t="s">
        <v>13</v>
      </c>
      <c r="B19" s="7">
        <v>340.0</v>
      </c>
    </row>
    <row r="20">
      <c r="A20" s="10" t="s">
        <v>8</v>
      </c>
      <c r="B20" s="7">
        <v>320.0</v>
      </c>
    </row>
    <row r="21">
      <c r="A21" s="10" t="s">
        <v>9</v>
      </c>
      <c r="B21" s="7">
        <v>320.0</v>
      </c>
    </row>
    <row r="22">
      <c r="A22" s="10" t="s">
        <v>3</v>
      </c>
      <c r="B22" s="7">
        <v>300.0</v>
      </c>
    </row>
    <row r="23">
      <c r="A23" s="10" t="s">
        <v>15</v>
      </c>
      <c r="B23" s="7">
        <v>280.0</v>
      </c>
    </row>
    <row r="24">
      <c r="A24" s="11"/>
    </row>
    <row r="25">
      <c r="A25" s="12" t="s">
        <v>66</v>
      </c>
      <c r="B25" s="13">
        <f>SUM(B2:B23)</f>
        <v>8420</v>
      </c>
    </row>
    <row r="26">
      <c r="A26" s="12" t="s">
        <v>67</v>
      </c>
      <c r="B26" s="13">
        <f>ROUND(B25/22,0)</f>
        <v>383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